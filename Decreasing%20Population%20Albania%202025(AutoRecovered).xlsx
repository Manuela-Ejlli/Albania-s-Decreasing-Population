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hidePivotFieldList="1"/>
  <mc:AlternateContent xmlns:mc="http://schemas.openxmlformats.org/markup-compatibility/2006">
    <mc:Choice Requires="x15">
      <x15ac:absPath xmlns:x15ac="http://schemas.microsoft.com/office/spreadsheetml/2010/11/ac" url="/Users/manuelaejlli/Desktop/"/>
    </mc:Choice>
  </mc:AlternateContent>
  <xr:revisionPtr revIDLastSave="0" documentId="8_{19509F0D-117E-A74A-83F7-3B118973A3EF}" xr6:coauthVersionLast="47" xr6:coauthVersionMax="47" xr10:uidLastSave="{00000000-0000-0000-0000-000000000000}"/>
  <bookViews>
    <workbookView xWindow="360" yWindow="500" windowWidth="27800" windowHeight="16180" xr2:uid="{AE63E1E7-208B-7B4A-8F00-5AFDEAC5099A}"/>
  </bookViews>
  <sheets>
    <sheet name="Graph by Prefecture" sheetId="6" r:id="rId1"/>
    <sheet name="Data by Prefecture" sheetId="1" r:id="rId2"/>
    <sheet name="Graph by Age Group" sheetId="11" r:id="rId3"/>
    <sheet name="Data by Age Group" sheetId="7" r:id="rId4"/>
  </sheets>
  <definedNames>
    <definedName name="Slicer_Qarku_Prefectures">#N/A</definedName>
  </definedNames>
  <calcPr calcId="191029"/>
  <pivotCaches>
    <pivotCache cacheId="0" r:id="rId5"/>
    <pivotCache cacheId="1"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7" l="1"/>
  <c r="E3" i="7"/>
  <c r="E4" i="7"/>
  <c r="E5" i="7"/>
  <c r="E6" i="7"/>
  <c r="E7" i="7"/>
  <c r="E8" i="7"/>
  <c r="E9" i="7"/>
  <c r="E10"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 i="7"/>
  <c r="E129" i="1"/>
  <c r="E128" i="1"/>
  <c r="E127" i="1"/>
  <c r="E126" i="1"/>
  <c r="E125" i="1"/>
  <c r="E124" i="1"/>
  <c r="E123" i="1"/>
  <c r="E118" i="1"/>
  <c r="E117" i="1"/>
  <c r="E116" i="1"/>
  <c r="E115" i="1"/>
  <c r="E114" i="1"/>
  <c r="E113" i="1"/>
  <c r="E112" i="1"/>
  <c r="E107" i="1"/>
  <c r="E106" i="1"/>
  <c r="E105" i="1"/>
  <c r="E104" i="1"/>
  <c r="E103" i="1"/>
  <c r="E102" i="1"/>
  <c r="E101" i="1"/>
  <c r="E96" i="1"/>
  <c r="E95" i="1"/>
  <c r="E94" i="1"/>
  <c r="E93" i="1"/>
  <c r="E92" i="1"/>
  <c r="E91" i="1"/>
  <c r="E90" i="1"/>
  <c r="E85" i="1"/>
  <c r="E84" i="1"/>
  <c r="E83" i="1"/>
  <c r="E82" i="1"/>
  <c r="E81" i="1"/>
  <c r="E80" i="1"/>
  <c r="E79" i="1"/>
  <c r="E74" i="1"/>
  <c r="E73" i="1"/>
  <c r="E72" i="1"/>
  <c r="E71" i="1"/>
  <c r="E70" i="1"/>
  <c r="E69" i="1"/>
  <c r="E68" i="1"/>
  <c r="E63" i="1"/>
  <c r="E62" i="1"/>
  <c r="E61" i="1"/>
  <c r="E60" i="1"/>
  <c r="E59" i="1"/>
  <c r="E58" i="1"/>
  <c r="E57" i="1"/>
  <c r="E52" i="1"/>
  <c r="E51" i="1"/>
  <c r="E50" i="1"/>
  <c r="E49" i="1"/>
  <c r="E48" i="1"/>
  <c r="E47" i="1"/>
  <c r="E46" i="1"/>
  <c r="E41" i="1"/>
  <c r="E40" i="1"/>
  <c r="E39" i="1"/>
  <c r="E38" i="1"/>
  <c r="E37" i="1"/>
  <c r="E36" i="1"/>
  <c r="E35" i="1"/>
  <c r="E30" i="1"/>
  <c r="E29" i="1"/>
  <c r="E28" i="1"/>
  <c r="E27" i="1"/>
  <c r="E26" i="1"/>
  <c r="E25" i="1"/>
  <c r="E24" i="1"/>
  <c r="E19" i="1"/>
  <c r="E18" i="1"/>
  <c r="E17" i="1"/>
  <c r="E16" i="1"/>
  <c r="E15" i="1"/>
  <c r="E14" i="1"/>
  <c r="E13" i="1"/>
  <c r="E8" i="1"/>
  <c r="E7" i="1"/>
  <c r="E6" i="1"/>
  <c r="E5" i="1"/>
  <c r="E4" i="1"/>
  <c r="E3" i="1"/>
  <c r="E2" i="1"/>
</calcChain>
</file>

<file path=xl/sharedStrings.xml><?xml version="1.0" encoding="utf-8"?>
<sst xmlns="http://schemas.openxmlformats.org/spreadsheetml/2006/main" count="371" uniqueCount="45">
  <si>
    <t>Gjithsej/Total</t>
  </si>
  <si>
    <t>Qarku/Prefectures</t>
  </si>
  <si>
    <t>Berat</t>
  </si>
  <si>
    <t>Dibër</t>
  </si>
  <si>
    <t>Durrës</t>
  </si>
  <si>
    <t>Elbasan</t>
  </si>
  <si>
    <t>Fier</t>
  </si>
  <si>
    <t>Gjirokastër</t>
  </si>
  <si>
    <t>Korçë</t>
  </si>
  <si>
    <t>Kukës</t>
  </si>
  <si>
    <t>Lezhë</t>
  </si>
  <si>
    <t>Shkodër</t>
  </si>
  <si>
    <t>Tiranë</t>
  </si>
  <si>
    <t>Vlorë</t>
  </si>
  <si>
    <t>Viti/Year</t>
  </si>
  <si>
    <t>Meshkuj/Male</t>
  </si>
  <si>
    <t>Femra/Female</t>
  </si>
  <si>
    <t>Row Labels</t>
  </si>
  <si>
    <t>Grand Total</t>
  </si>
  <si>
    <t>Sum of Meshkuj/Male</t>
  </si>
  <si>
    <t>Sum of Femra/Female</t>
  </si>
  <si>
    <t>Grupmosha/ Age group</t>
  </si>
  <si>
    <t> Gjithsej/Total </t>
  </si>
  <si>
    <t>85+</t>
  </si>
  <si>
    <t xml:space="preserve">viti / year </t>
  </si>
  <si>
    <t>Femer/Female</t>
  </si>
  <si>
    <t>05 to 09</t>
  </si>
  <si>
    <t>0 to 4</t>
  </si>
  <si>
    <t>10 to 14</t>
  </si>
  <si>
    <t>15 to 19</t>
  </si>
  <si>
    <t>20 to 24</t>
  </si>
  <si>
    <t>25 to 29</t>
  </si>
  <si>
    <t>30 to 34</t>
  </si>
  <si>
    <t>35 to 39</t>
  </si>
  <si>
    <t>40 to 44</t>
  </si>
  <si>
    <t>45 to 49</t>
  </si>
  <si>
    <t>50 to 54</t>
  </si>
  <si>
    <t>55 to 59</t>
  </si>
  <si>
    <t>60 to 64</t>
  </si>
  <si>
    <t>65 to 69</t>
  </si>
  <si>
    <t>70 to 74</t>
  </si>
  <si>
    <t>75 to 79</t>
  </si>
  <si>
    <t>80 to 84</t>
  </si>
  <si>
    <t>Sum of Femer/Female</t>
  </si>
  <si>
    <r>
      <t xml:space="preserve">Source  </t>
    </r>
    <r>
      <rPr>
        <sz val="12"/>
        <color theme="3" tint="0.249977111117893"/>
        <rFont val="Aptos Narrow (Body)"/>
      </rPr>
      <t>https://www.instat.gov.al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</si>
</sst>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7" x14ac:knownFonts="1">
    <font>
      <sz val="12"/>
      <color theme="1"/>
      <name val="Aptos Narrow"/>
      <family val="2"/>
      <scheme val="minor"/>
    </font>
    <font>
      <sz val="12"/>
      <color theme="1"/>
      <name val="Aptos Narrow"/>
      <family val="2"/>
      <scheme val="minor"/>
    </font>
    <font>
      <b/>
      <sz val="10"/>
      <name val="Arial"/>
      <family val="2"/>
    </font>
    <font>
      <sz val="10"/>
      <name val="Arial"/>
      <family val="2"/>
    </font>
    <font>
      <b/>
      <sz val="10"/>
      <color theme="1"/>
      <name val="Arial"/>
      <family val="2"/>
    </font>
    <font>
      <sz val="8"/>
      <name val="Aptos Narrow"/>
      <family val="2"/>
      <scheme val="minor"/>
    </font>
    <font>
      <sz val="10"/>
      <color rgb="FF000000"/>
      <name val="Arial"/>
      <family val="2"/>
    </font>
    <font>
      <b/>
      <sz val="10"/>
      <color rgb="FF000000"/>
      <name val="Arial"/>
      <family val="2"/>
    </font>
    <font>
      <sz val="12"/>
      <color theme="1"/>
      <name val="Aptos Narrow"/>
      <scheme val="minor"/>
    </font>
    <font>
      <sz val="8"/>
      <color theme="1"/>
      <name val="Helvetica"/>
      <family val="2"/>
    </font>
    <font>
      <sz val="10"/>
      <color theme="1"/>
      <name val="Times New Roman"/>
      <family val="1"/>
    </font>
    <font>
      <sz val="10"/>
      <color theme="1"/>
      <name val="Arial"/>
      <family val="2"/>
    </font>
    <font>
      <b/>
      <sz val="8"/>
      <color theme="1"/>
      <name val="Arial"/>
      <family val="2"/>
    </font>
    <font>
      <b/>
      <sz val="8"/>
      <color rgb="FFFFFFFF"/>
      <name val="Arial"/>
      <family val="2"/>
    </font>
    <font>
      <b/>
      <sz val="12"/>
      <color theme="1"/>
      <name val="Aptos Narrow"/>
      <family val="2"/>
      <scheme val="minor"/>
    </font>
    <font>
      <b/>
      <sz val="11"/>
      <color theme="1"/>
      <name val="Arial"/>
      <family val="2"/>
    </font>
    <font>
      <sz val="12"/>
      <color theme="3" tint="0.249977111117893"/>
      <name val="Aptos Narrow (Body)"/>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9">
    <xf numFmtId="0" fontId="0" fillId="0" borderId="0" xfId="0"/>
    <xf numFmtId="0" fontId="2" fillId="2" borderId="1" xfId="0" applyFont="1" applyFill="1" applyBorder="1" applyAlignment="1">
      <alignment horizontal="center" vertical="center" wrapText="1"/>
    </xf>
    <xf numFmtId="164" fontId="2" fillId="3" borderId="2" xfId="1" applyNumberFormat="1" applyFont="1" applyFill="1" applyBorder="1" applyAlignment="1">
      <alignment horizontal="right"/>
    </xf>
    <xf numFmtId="3" fontId="6" fillId="3" borderId="2" xfId="0" applyNumberFormat="1" applyFont="1" applyFill="1" applyBorder="1" applyAlignment="1">
      <alignment vertical="center" shrinkToFit="1"/>
    </xf>
    <xf numFmtId="3" fontId="4" fillId="3" borderId="2" xfId="0" applyNumberFormat="1" applyFont="1" applyFill="1" applyBorder="1" applyAlignment="1">
      <alignment vertical="center"/>
    </xf>
    <xf numFmtId="164" fontId="3" fillId="3" borderId="2" xfId="1" applyNumberFormat="1" applyFont="1" applyFill="1" applyBorder="1" applyAlignment="1">
      <alignment vertical="center"/>
    </xf>
    <xf numFmtId="164" fontId="2" fillId="3" borderId="2" xfId="1" applyNumberFormat="1" applyFont="1" applyFill="1" applyBorder="1" applyAlignment="1">
      <alignment vertical="center"/>
    </xf>
    <xf numFmtId="3" fontId="7" fillId="3" borderId="2" xfId="0" applyNumberFormat="1" applyFont="1" applyFill="1" applyBorder="1" applyAlignment="1">
      <alignment vertical="center" shrinkToFit="1"/>
    </xf>
    <xf numFmtId="0" fontId="0" fillId="0" borderId="0" xfId="0" pivotButton="1"/>
    <xf numFmtId="0" fontId="0" fillId="0" borderId="0" xfId="0" applyAlignment="1">
      <alignment horizontal="left"/>
    </xf>
    <xf numFmtId="0" fontId="2" fillId="2" borderId="2" xfId="0" applyFont="1" applyFill="1" applyBorder="1" applyAlignment="1">
      <alignment horizontal="left" vertical="center"/>
    </xf>
    <xf numFmtId="164" fontId="3" fillId="3" borderId="2" xfId="1" applyNumberFormat="1" applyFont="1" applyFill="1" applyBorder="1" applyAlignment="1"/>
    <xf numFmtId="164" fontId="2" fillId="3" borderId="2" xfId="1" applyNumberFormat="1" applyFont="1" applyFill="1" applyBorder="1" applyAlignment="1"/>
    <xf numFmtId="0" fontId="0" fillId="0" borderId="2" xfId="0" applyBorder="1" applyAlignment="1">
      <alignment horizontal="center" vertical="center"/>
    </xf>
    <xf numFmtId="0" fontId="0" fillId="0" borderId="0" xfId="0" applyAlignment="1">
      <alignment horizontal="center" vertical="center"/>
    </xf>
    <xf numFmtId="0" fontId="8" fillId="0" borderId="0" xfId="0" applyFont="1"/>
    <xf numFmtId="0" fontId="9" fillId="0" borderId="0" xfId="0" applyFont="1"/>
    <xf numFmtId="0" fontId="10" fillId="0" borderId="0" xfId="0" applyFont="1"/>
    <xf numFmtId="0" fontId="12" fillId="0" borderId="0" xfId="0" applyFont="1"/>
    <xf numFmtId="0" fontId="13" fillId="0" borderId="0" xfId="0" applyFont="1"/>
    <xf numFmtId="3" fontId="0" fillId="0" borderId="0" xfId="0" applyNumberFormat="1"/>
    <xf numFmtId="0" fontId="14" fillId="0" borderId="2" xfId="0" applyFont="1" applyBorder="1"/>
    <xf numFmtId="0" fontId="14" fillId="0" borderId="0" xfId="0" applyFont="1"/>
    <xf numFmtId="0" fontId="15" fillId="0" borderId="2" xfId="0" applyFont="1" applyBorder="1"/>
    <xf numFmtId="0" fontId="4" fillId="0" borderId="2" xfId="0" applyFont="1" applyBorder="1"/>
    <xf numFmtId="3" fontId="11" fillId="0" borderId="2" xfId="0" applyNumberFormat="1" applyFont="1" applyBorder="1" applyAlignment="1">
      <alignment horizontal="right"/>
    </xf>
    <xf numFmtId="3" fontId="11" fillId="0" borderId="2" xfId="0" applyNumberFormat="1" applyFont="1" applyBorder="1"/>
    <xf numFmtId="16" fontId="4" fillId="0" borderId="2" xfId="0" quotePrefix="1" applyNumberFormat="1" applyFont="1" applyBorder="1"/>
    <xf numFmtId="0" fontId="4" fillId="0" borderId="2" xfId="0" quotePrefix="1"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[Decreasing%20Population%20Albania%202025(AutoRecovered).xlsx]Graph by Prefecture!PivotTable5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225047288083405E-2"/>
          <c:y val="4.9026961028605591E-2"/>
          <c:w val="0.74744490388422125"/>
          <c:h val="0.84139788697298901"/>
        </c:manualLayout>
      </c:layout>
      <c:lineChart>
        <c:grouping val="standard"/>
        <c:varyColors val="0"/>
        <c:ser>
          <c:idx val="0"/>
          <c:order val="0"/>
          <c:tx>
            <c:strRef>
              <c:f>'Graph by Prefecture'!$B$3</c:f>
              <c:strCache>
                <c:ptCount val="1"/>
                <c:pt idx="0">
                  <c:v>Sum of Meshkuj/Male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 by Prefecture'!$A$4:$A$15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'Graph by Prefecture'!$B$4:$B$15</c:f>
              <c:numCache>
                <c:formatCode>General</c:formatCode>
                <c:ptCount val="11"/>
                <c:pt idx="0">
                  <c:v>109202</c:v>
                </c:pt>
                <c:pt idx="1">
                  <c:v>105025</c:v>
                </c:pt>
                <c:pt idx="2">
                  <c:v>103370</c:v>
                </c:pt>
                <c:pt idx="3">
                  <c:v>100857</c:v>
                </c:pt>
                <c:pt idx="4">
                  <c:v>99264</c:v>
                </c:pt>
                <c:pt idx="5">
                  <c:v>97774</c:v>
                </c:pt>
                <c:pt idx="6">
                  <c:v>96097</c:v>
                </c:pt>
                <c:pt idx="7">
                  <c:v>93707</c:v>
                </c:pt>
                <c:pt idx="8">
                  <c:v>91436</c:v>
                </c:pt>
                <c:pt idx="9">
                  <c:v>75709</c:v>
                </c:pt>
                <c:pt idx="10">
                  <c:v>73735</c:v>
                </c:pt>
              </c:numCache>
            </c:numRef>
          </c:val>
          <c:smooth val="0"/>
          <c:extLst>
            <c:ext xmlns:c16="http://schemas.microsoft.com/office/drawing/2014/chart" uri="{C3380CC4-5D6E-409C-BE32-E72D297353CC}">
              <c16:uniqueId val="{00000000-635F-E747-AE34-82294BE049F2}"/>
            </c:ext>
          </c:extLst>
        </c:ser>
        <c:ser>
          <c:idx val="1"/>
          <c:order val="1"/>
          <c:tx>
            <c:strRef>
              <c:f>'Graph by Prefecture'!$C$3</c:f>
              <c:strCache>
                <c:ptCount val="1"/>
                <c:pt idx="0">
                  <c:v>Sum of Femra/Female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 by Prefecture'!$A$4:$A$15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'Graph by Prefecture'!$C$4:$C$15</c:f>
              <c:numCache>
                <c:formatCode>General</c:formatCode>
                <c:ptCount val="11"/>
                <c:pt idx="0">
                  <c:v>109321</c:v>
                </c:pt>
                <c:pt idx="1">
                  <c:v>105143</c:v>
                </c:pt>
                <c:pt idx="2">
                  <c:v>104554</c:v>
                </c:pt>
                <c:pt idx="3">
                  <c:v>104137</c:v>
                </c:pt>
                <c:pt idx="4">
                  <c:v>103631</c:v>
                </c:pt>
                <c:pt idx="5">
                  <c:v>102233</c:v>
                </c:pt>
                <c:pt idx="6">
                  <c:v>101080</c:v>
                </c:pt>
                <c:pt idx="7">
                  <c:v>99302</c:v>
                </c:pt>
                <c:pt idx="8">
                  <c:v>97728</c:v>
                </c:pt>
                <c:pt idx="9">
                  <c:v>77544</c:v>
                </c:pt>
                <c:pt idx="10">
                  <c:v>75761</c:v>
                </c:pt>
              </c:numCache>
            </c:numRef>
          </c:val>
          <c:smooth val="0"/>
          <c:extLst>
            <c:ext xmlns:c16="http://schemas.microsoft.com/office/drawing/2014/chart" uri="{C3380CC4-5D6E-409C-BE32-E72D297353CC}">
              <c16:uniqueId val="{00000001-635F-E747-AE34-82294BE049F2}"/>
            </c:ext>
          </c:extLst>
        </c:ser>
        <c:dLbls>
          <c:showLegendKey val="0"/>
          <c:showVal val="0"/>
          <c:showCatName val="0"/>
          <c:showSerName val="0"/>
          <c:showPercent val="0"/>
          <c:showBubbleSize val="0"/>
        </c:dLbls>
        <c:marker val="1"/>
        <c:smooth val="0"/>
        <c:axId val="1561430672"/>
        <c:axId val="1788238784"/>
      </c:lineChart>
      <c:catAx>
        <c:axId val="156143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40" b="0" i="0" u="none" strike="noStrike" kern="1200" baseline="0">
                <a:solidFill>
                  <a:schemeClr val="tx1">
                    <a:lumMod val="65000"/>
                    <a:lumOff val="35000"/>
                  </a:schemeClr>
                </a:solidFill>
                <a:latin typeface="+mn-lt"/>
                <a:ea typeface="+mn-ea"/>
                <a:cs typeface="+mn-cs"/>
              </a:defRPr>
            </a:pPr>
            <a:endParaRPr lang="en-US"/>
          </a:p>
        </c:txPr>
        <c:crossAx val="1788238784"/>
        <c:crosses val="autoZero"/>
        <c:auto val="1"/>
        <c:lblAlgn val="ctr"/>
        <c:lblOffset val="100"/>
        <c:noMultiLvlLbl val="0"/>
      </c:catAx>
      <c:valAx>
        <c:axId val="178823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43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[Decreasing%20Population%20Albania%202025(AutoRecovered).xlsx]Graph by Age Group!PivotTable3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2"/>
                </a:solidFill>
              </a:rPr>
              <a:t>Sum</a:t>
            </a:r>
            <a:r>
              <a:rPr lang="en-US" sz="1600" baseline="0">
                <a:solidFill>
                  <a:schemeClr val="tx2"/>
                </a:solidFill>
              </a:rPr>
              <a:t> Male/Female by Age Group </a:t>
            </a:r>
            <a:endParaRPr lang="en-US" sz="1600">
              <a:solidFill>
                <a:schemeClr val="tx2"/>
              </a:solidFill>
            </a:endParaRPr>
          </a:p>
        </c:rich>
      </c:tx>
      <c:layout>
        <c:manualLayout>
          <c:xMode val="edge"/>
          <c:yMode val="edge"/>
          <c:x val="0.33688272991930601"/>
          <c:y val="2.07373271889400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87555967268796E-2"/>
          <c:y val="7.1724628171478566E-2"/>
          <c:w val="0.85693642118264624"/>
          <c:h val="0.84204505686789155"/>
        </c:manualLayout>
      </c:layout>
      <c:barChart>
        <c:barDir val="col"/>
        <c:grouping val="clustered"/>
        <c:varyColors val="0"/>
        <c:ser>
          <c:idx val="0"/>
          <c:order val="0"/>
          <c:tx>
            <c:strRef>
              <c:f>'Graph by Age Group'!$B$4</c:f>
              <c:strCache>
                <c:ptCount val="1"/>
                <c:pt idx="0">
                  <c:v>Sum of Meshkuj/Male</c:v>
                </c:pt>
              </c:strCache>
            </c:strRef>
          </c:tx>
          <c:spPr>
            <a:solidFill>
              <a:schemeClr val="accent6"/>
            </a:solidFill>
            <a:ln>
              <a:noFill/>
            </a:ln>
            <a:effectLst/>
          </c:spPr>
          <c:invertIfNegative val="0"/>
          <c:cat>
            <c:strRef>
              <c:f>'Graph by Age Group'!$A$5:$A$23</c:f>
              <c:strCache>
                <c:ptCount val="18"/>
                <c:pt idx="0">
                  <c:v>0 to 4</c:v>
                </c:pt>
                <c:pt idx="1">
                  <c:v>05 to 09</c:v>
                </c:pt>
                <c:pt idx="2">
                  <c:v>10 to 14</c:v>
                </c:pt>
                <c:pt idx="3">
                  <c:v>15 to 19</c:v>
                </c:pt>
                <c:pt idx="4">
                  <c:v>20 to 24</c:v>
                </c:pt>
                <c:pt idx="5">
                  <c:v>25 to 29</c:v>
                </c:pt>
                <c:pt idx="6">
                  <c:v>30 to 34</c:v>
                </c:pt>
                <c:pt idx="7">
                  <c:v>35 to 39</c:v>
                </c:pt>
                <c:pt idx="8">
                  <c:v>40 to 44</c:v>
                </c:pt>
                <c:pt idx="9">
                  <c:v>45 to 49</c:v>
                </c:pt>
                <c:pt idx="10">
                  <c:v>50 to 54</c:v>
                </c:pt>
                <c:pt idx="11">
                  <c:v>55 to 59</c:v>
                </c:pt>
                <c:pt idx="12">
                  <c:v>60 to 64</c:v>
                </c:pt>
                <c:pt idx="13">
                  <c:v>65 to 69</c:v>
                </c:pt>
                <c:pt idx="14">
                  <c:v>70 to 74</c:v>
                </c:pt>
                <c:pt idx="15">
                  <c:v>75 to 79</c:v>
                </c:pt>
                <c:pt idx="16">
                  <c:v>80 to 84</c:v>
                </c:pt>
                <c:pt idx="17">
                  <c:v>85+</c:v>
                </c:pt>
              </c:strCache>
            </c:strRef>
          </c:cat>
          <c:val>
            <c:numRef>
              <c:f>'Graph by Age Group'!$B$5:$B$23</c:f>
              <c:numCache>
                <c:formatCode>#,##0</c:formatCode>
                <c:ptCount val="18"/>
                <c:pt idx="0">
                  <c:v>67886</c:v>
                </c:pt>
                <c:pt idx="1">
                  <c:v>77259</c:v>
                </c:pt>
                <c:pt idx="2">
                  <c:v>79737</c:v>
                </c:pt>
                <c:pt idx="3">
                  <c:v>87761</c:v>
                </c:pt>
                <c:pt idx="4">
                  <c:v>98353</c:v>
                </c:pt>
                <c:pt idx="5">
                  <c:v>108705</c:v>
                </c:pt>
                <c:pt idx="6">
                  <c:v>105562</c:v>
                </c:pt>
                <c:pt idx="7">
                  <c:v>93921</c:v>
                </c:pt>
                <c:pt idx="8">
                  <c:v>79958</c:v>
                </c:pt>
                <c:pt idx="9">
                  <c:v>78488</c:v>
                </c:pt>
                <c:pt idx="10">
                  <c:v>85449</c:v>
                </c:pt>
                <c:pt idx="11">
                  <c:v>92237</c:v>
                </c:pt>
                <c:pt idx="12">
                  <c:v>95110</c:v>
                </c:pt>
                <c:pt idx="13">
                  <c:v>77566</c:v>
                </c:pt>
                <c:pt idx="14">
                  <c:v>56403</c:v>
                </c:pt>
                <c:pt idx="15">
                  <c:v>39898</c:v>
                </c:pt>
                <c:pt idx="16">
                  <c:v>28848</c:v>
                </c:pt>
                <c:pt idx="17">
                  <c:v>13780</c:v>
                </c:pt>
              </c:numCache>
            </c:numRef>
          </c:val>
          <c:extLst>
            <c:ext xmlns:c16="http://schemas.microsoft.com/office/drawing/2014/chart" uri="{C3380CC4-5D6E-409C-BE32-E72D297353CC}">
              <c16:uniqueId val="{00000000-BC92-3C40-8C39-5796C9DDBF9C}"/>
            </c:ext>
          </c:extLst>
        </c:ser>
        <c:ser>
          <c:idx val="1"/>
          <c:order val="1"/>
          <c:tx>
            <c:strRef>
              <c:f>'Graph by Age Group'!$C$4</c:f>
              <c:strCache>
                <c:ptCount val="1"/>
                <c:pt idx="0">
                  <c:v>Sum of Femer/Female</c:v>
                </c:pt>
              </c:strCache>
            </c:strRef>
          </c:tx>
          <c:spPr>
            <a:solidFill>
              <a:schemeClr val="accent5"/>
            </a:solidFill>
            <a:ln>
              <a:noFill/>
            </a:ln>
            <a:effectLst/>
          </c:spPr>
          <c:invertIfNegative val="0"/>
          <c:cat>
            <c:strRef>
              <c:f>'Graph by Age Group'!$A$5:$A$23</c:f>
              <c:strCache>
                <c:ptCount val="18"/>
                <c:pt idx="0">
                  <c:v>0 to 4</c:v>
                </c:pt>
                <c:pt idx="1">
                  <c:v>05 to 09</c:v>
                </c:pt>
                <c:pt idx="2">
                  <c:v>10 to 14</c:v>
                </c:pt>
                <c:pt idx="3">
                  <c:v>15 to 19</c:v>
                </c:pt>
                <c:pt idx="4">
                  <c:v>20 to 24</c:v>
                </c:pt>
                <c:pt idx="5">
                  <c:v>25 to 29</c:v>
                </c:pt>
                <c:pt idx="6">
                  <c:v>30 to 34</c:v>
                </c:pt>
                <c:pt idx="7">
                  <c:v>35 to 39</c:v>
                </c:pt>
                <c:pt idx="8">
                  <c:v>40 to 44</c:v>
                </c:pt>
                <c:pt idx="9">
                  <c:v>45 to 49</c:v>
                </c:pt>
                <c:pt idx="10">
                  <c:v>50 to 54</c:v>
                </c:pt>
                <c:pt idx="11">
                  <c:v>55 to 59</c:v>
                </c:pt>
                <c:pt idx="12">
                  <c:v>60 to 64</c:v>
                </c:pt>
                <c:pt idx="13">
                  <c:v>65 to 69</c:v>
                </c:pt>
                <c:pt idx="14">
                  <c:v>70 to 74</c:v>
                </c:pt>
                <c:pt idx="15">
                  <c:v>75 to 79</c:v>
                </c:pt>
                <c:pt idx="16">
                  <c:v>80 to 84</c:v>
                </c:pt>
                <c:pt idx="17">
                  <c:v>85+</c:v>
                </c:pt>
              </c:strCache>
            </c:strRef>
          </c:cat>
          <c:val>
            <c:numRef>
              <c:f>'Graph by Age Group'!$C$5:$C$23</c:f>
              <c:numCache>
                <c:formatCode>#,##0</c:formatCode>
                <c:ptCount val="18"/>
                <c:pt idx="0">
                  <c:v>64122</c:v>
                </c:pt>
                <c:pt idx="1">
                  <c:v>76099</c:v>
                </c:pt>
                <c:pt idx="2">
                  <c:v>78124</c:v>
                </c:pt>
                <c:pt idx="3">
                  <c:v>84315</c:v>
                </c:pt>
                <c:pt idx="4">
                  <c:v>97887</c:v>
                </c:pt>
                <c:pt idx="5">
                  <c:v>110867</c:v>
                </c:pt>
                <c:pt idx="6">
                  <c:v>104382</c:v>
                </c:pt>
                <c:pt idx="7">
                  <c:v>87117</c:v>
                </c:pt>
                <c:pt idx="8">
                  <c:v>79658</c:v>
                </c:pt>
                <c:pt idx="9">
                  <c:v>83658</c:v>
                </c:pt>
                <c:pt idx="10">
                  <c:v>92239</c:v>
                </c:pt>
                <c:pt idx="11">
                  <c:v>98391</c:v>
                </c:pt>
                <c:pt idx="12">
                  <c:v>100004</c:v>
                </c:pt>
                <c:pt idx="13">
                  <c:v>84570</c:v>
                </c:pt>
                <c:pt idx="14">
                  <c:v>61841</c:v>
                </c:pt>
                <c:pt idx="15">
                  <c:v>43675</c:v>
                </c:pt>
                <c:pt idx="16">
                  <c:v>34202</c:v>
                </c:pt>
                <c:pt idx="17">
                  <c:v>13713</c:v>
                </c:pt>
              </c:numCache>
            </c:numRef>
          </c:val>
          <c:extLst>
            <c:ext xmlns:c16="http://schemas.microsoft.com/office/drawing/2014/chart" uri="{C3380CC4-5D6E-409C-BE32-E72D297353CC}">
              <c16:uniqueId val="{00000001-BC92-3C40-8C39-5796C9DDBF9C}"/>
            </c:ext>
          </c:extLst>
        </c:ser>
        <c:dLbls>
          <c:showLegendKey val="0"/>
          <c:showVal val="0"/>
          <c:showCatName val="0"/>
          <c:showSerName val="0"/>
          <c:showPercent val="0"/>
          <c:showBubbleSize val="0"/>
        </c:dLbls>
        <c:gapWidth val="219"/>
        <c:axId val="1086788495"/>
        <c:axId val="755190047"/>
      </c:barChart>
      <c:catAx>
        <c:axId val="108678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90047"/>
        <c:crosses val="autoZero"/>
        <c:auto val="1"/>
        <c:lblAlgn val="ctr"/>
        <c:lblOffset val="100"/>
        <c:noMultiLvlLbl val="0"/>
      </c:catAx>
      <c:valAx>
        <c:axId val="755190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78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3</xdr:row>
      <xdr:rowOff>25400</xdr:rowOff>
    </xdr:from>
    <xdr:to>
      <xdr:col>15</xdr:col>
      <xdr:colOff>12700</xdr:colOff>
      <xdr:row>25</xdr:row>
      <xdr:rowOff>165100</xdr:rowOff>
    </xdr:to>
    <xdr:graphicFrame macro="">
      <xdr:nvGraphicFramePr>
        <xdr:cNvPr id="2" name="Chart 1">
          <a:extLst>
            <a:ext uri="{FF2B5EF4-FFF2-40B4-BE49-F238E27FC236}">
              <a16:creationId xmlns:a16="http://schemas.microsoft.com/office/drawing/2014/main" id="{7E613064-D764-34B6-5F63-2AE349A60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279400</xdr:colOff>
      <xdr:row>16</xdr:row>
      <xdr:rowOff>25400</xdr:rowOff>
    </xdr:from>
    <xdr:to>
      <xdr:col>4</xdr:col>
      <xdr:colOff>0</xdr:colOff>
      <xdr:row>34</xdr:row>
      <xdr:rowOff>50800</xdr:rowOff>
    </xdr:to>
    <mc:AlternateContent xmlns:mc="http://schemas.openxmlformats.org/markup-compatibility/2006" xmlns:a14="http://schemas.microsoft.com/office/drawing/2010/main">
      <mc:Choice Requires="a14">
        <xdr:graphicFrame macro="">
          <xdr:nvGraphicFramePr>
            <xdr:cNvPr id="3" name="Qarku/Prefectures">
              <a:extLst>
                <a:ext uri="{FF2B5EF4-FFF2-40B4-BE49-F238E27FC236}">
                  <a16:creationId xmlns:a16="http://schemas.microsoft.com/office/drawing/2014/main" id="{7B3E6161-72A9-75D0-2D4A-56E590143E1F}"/>
                </a:ext>
              </a:extLst>
            </xdr:cNvPr>
            <xdr:cNvGraphicFramePr/>
          </xdr:nvGraphicFramePr>
          <xdr:xfrm>
            <a:off x="0" y="0"/>
            <a:ext cx="0" cy="0"/>
          </xdr:xfrm>
          <a:graphic>
            <a:graphicData uri="http://schemas.microsoft.com/office/drawing/2010/slicer">
              <sle:slicer xmlns:sle="http://schemas.microsoft.com/office/drawing/2010/slicer" name="Qarku/Prefectures"/>
            </a:graphicData>
          </a:graphic>
        </xdr:graphicFrame>
      </mc:Choice>
      <mc:Fallback xmlns="">
        <xdr:sp macro="" textlink="">
          <xdr:nvSpPr>
            <xdr:cNvPr id="0" name=""/>
            <xdr:cNvSpPr>
              <a:spLocks noTextEdit="1"/>
            </xdr:cNvSpPr>
          </xdr:nvSpPr>
          <xdr:spPr>
            <a:xfrm>
              <a:off x="2946400" y="3276600"/>
              <a:ext cx="2616200" cy="368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25400</xdr:colOff>
      <xdr:row>1</xdr:row>
      <xdr:rowOff>12700</xdr:rowOff>
    </xdr:from>
    <xdr:to>
      <xdr:col>10</xdr:col>
      <xdr:colOff>1460500</xdr:colOff>
      <xdr:row>28</xdr:row>
      <xdr:rowOff>38100</xdr:rowOff>
    </xdr:to>
    <xdr:graphicFrame macro="">
      <xdr:nvGraphicFramePr>
        <xdr:cNvPr id="3" name="Chart 2">
          <a:extLst>
            <a:ext uri="{FF2B5EF4-FFF2-40B4-BE49-F238E27FC236}">
              <a16:creationId xmlns:a16="http://schemas.microsoft.com/office/drawing/2014/main" id="{6937ED59-32CC-92A3-6863-F94FAF862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a Ejlli" refreshedDate="45855.977730671293" createdVersion="8" refreshedVersion="8" minRefreshableVersion="3" recordCount="132" xr:uid="{3F9CBD61-7C43-C04F-8AD5-BA0CCFCA77B8}">
  <cacheSource type="worksheet">
    <worksheetSource ref="A1:E133" sheet="Data by Prefecture"/>
  </cacheSource>
  <cacheFields count="5">
    <cacheField name="Qarku/Prefectures" numFmtId="0">
      <sharedItems count="12">
        <s v="Berat"/>
        <s v="Dibër"/>
        <s v="Durrës"/>
        <s v="Elbasan"/>
        <s v="Fier"/>
        <s v="Gjirokastër"/>
        <s v="Korçë"/>
        <s v="Kukës"/>
        <s v="Lezhë"/>
        <s v="Shkodër"/>
        <s v="Tiranë"/>
        <s v="Vlorë"/>
      </sharedItems>
    </cacheField>
    <cacheField name="Viti/Year" numFmtId="0">
      <sharedItems containsSemiMixedTypes="0" containsString="0" containsNumber="1" containsInteger="1" minValue="2015" maxValue="2025" count="11">
        <n v="2015"/>
        <n v="2016"/>
        <n v="2017"/>
        <n v="2018"/>
        <n v="2019"/>
        <n v="2020"/>
        <n v="2021"/>
        <n v="2022"/>
        <n v="2023"/>
        <n v="2024"/>
        <n v="2025"/>
      </sharedItems>
    </cacheField>
    <cacheField name="Meshkuj/Male" numFmtId="0">
      <sharedItems containsSemiMixedTypes="0" containsString="0" containsNumber="1" containsInteger="1" minValue="25407" maxValue="455207"/>
    </cacheField>
    <cacheField name="Femra/Female" numFmtId="0">
      <sharedItems containsSemiMixedTypes="0" containsString="0" containsNumber="1" containsInteger="1" minValue="27907" maxValue="470061"/>
    </cacheField>
    <cacheField name="Gjithsej/Total" numFmtId="0">
      <sharedItems containsSemiMixedTypes="0" containsString="0" containsNumber="1" containsInteger="1" minValue="53314" maxValue="925268"/>
    </cacheField>
  </cacheFields>
  <extLst>
    <ext xmlns:x14="http://schemas.microsoft.com/office/spreadsheetml/2009/9/main" uri="{725AE2AE-9491-48be-B2B4-4EB974FC3084}">
      <x14:pivotCacheDefinition pivotCacheId="289682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a Ejlli" refreshedDate="45884.582177199074" createdVersion="8" refreshedVersion="8" minRefreshableVersion="3" recordCount="198" xr:uid="{58925E6F-D31D-944C-B3B8-1A467E4F4E94}">
  <cacheSource type="worksheet">
    <worksheetSource ref="A1:E199" sheet="Data by Age Group"/>
  </cacheSource>
  <cacheFields count="5">
    <cacheField name="Grupmosha/ Age group" numFmtId="0">
      <sharedItems count="18">
        <s v="0 to 4"/>
        <s v="05 to 09"/>
        <s v="10 to 14"/>
        <s v="15 to 19"/>
        <s v="20 to 24"/>
        <s v="25 to 29"/>
        <s v="30 to 34"/>
        <s v="35 to 39"/>
        <s v="40 to 44"/>
        <s v="45 to 49"/>
        <s v="50 to 54"/>
        <s v="55 to 59"/>
        <s v="60 to 64"/>
        <s v="65 to 69"/>
        <s v="70 to 74"/>
        <s v="75 to 79"/>
        <s v="80 to 84"/>
        <s v="85+"/>
      </sharedItems>
    </cacheField>
    <cacheField name="viti / year " numFmtId="0">
      <sharedItems containsSemiMixedTypes="0" containsString="0" containsNumber="1" containsInteger="1" minValue="2015" maxValue="2025" count="11">
        <n v="2015"/>
        <n v="2016"/>
        <n v="2017"/>
        <n v="2018"/>
        <n v="2019"/>
        <n v="2020"/>
        <n v="2021"/>
        <n v="2022"/>
        <n v="2023"/>
        <n v="2024"/>
        <n v="2025"/>
      </sharedItems>
    </cacheField>
    <cacheField name="Meshkuj/Male" numFmtId="3">
      <sharedItems containsSemiMixedTypes="0" containsString="0" containsNumber="1" containsInteger="1" minValue="7362" maxValue="158659" count="198">
        <n v="88533"/>
        <n v="86277"/>
        <n v="86238"/>
        <n v="83526"/>
        <n v="79788"/>
        <n v="76045"/>
        <n v="73974"/>
        <n v="71489"/>
        <n v="67886"/>
        <n v="57143"/>
        <n v="55493"/>
        <n v="158659"/>
        <n v="80963"/>
        <n v="85561"/>
        <n v="84180"/>
        <n v="83414"/>
        <n v="83364"/>
        <n v="81708"/>
        <n v="79844"/>
        <n v="77259"/>
        <n v="64316"/>
        <n v="61722"/>
        <n v="105488"/>
        <n v="98001"/>
        <n v="99423"/>
        <n v="93638"/>
        <n v="89801"/>
        <n v="85586"/>
        <n v="83041"/>
        <n v="80976"/>
        <n v="79737"/>
        <n v="70420"/>
        <n v="68498"/>
        <n v="126251"/>
        <n v="119988"/>
        <n v="112793"/>
        <n v="108620"/>
        <n v="104737"/>
        <n v="100459"/>
        <n v="96566"/>
        <n v="93320"/>
        <n v="87761"/>
        <n v="71343"/>
        <n v="69456"/>
        <n v="119457"/>
        <n v="115857"/>
        <n v="130180"/>
        <n v="124533"/>
        <n v="118522"/>
        <n v="112810"/>
        <n v="109136"/>
        <n v="101815"/>
        <n v="98353"/>
        <n v="68121"/>
        <n v="65359"/>
        <n v="115898"/>
        <n v="115964"/>
        <n v="123096"/>
        <n v="121319"/>
        <n v="120969"/>
        <n v="120166"/>
        <n v="117857"/>
        <n v="113768"/>
        <n v="108705"/>
        <n v="71323"/>
        <n v="66757"/>
        <n v="102508"/>
        <n v="110989"/>
        <n v="101216"/>
        <n v="103177"/>
        <n v="104446"/>
        <n v="105848"/>
        <n v="108995"/>
        <n v="107410"/>
        <n v="105562"/>
        <n v="78174"/>
        <n v="74753"/>
        <n v="85864"/>
        <n v="89199"/>
        <n v="82229"/>
        <n v="83056"/>
        <n v="85824"/>
        <n v="89125"/>
        <n v="91048"/>
        <n v="92423"/>
        <n v="93921"/>
        <n v="78323"/>
        <n v="78121"/>
        <n v="88765"/>
        <n v="88821"/>
        <n v="80792"/>
        <n v="79849"/>
        <n v="79173"/>
        <n v="79021"/>
        <n v="78999"/>
        <n v="79527"/>
        <n v="79958"/>
        <n v="68091"/>
        <n v="69445"/>
        <n v="94798"/>
        <n v="95301"/>
        <n v="90193"/>
        <n v="87168"/>
        <n v="85217"/>
        <n v="83241"/>
        <n v="81594"/>
        <n v="79573"/>
        <n v="78488"/>
        <n v="67428"/>
        <n v="66292"/>
        <n v="104710"/>
        <n v="101468"/>
        <n v="97914"/>
        <n v="95533"/>
        <n v="93241"/>
        <n v="91819"/>
        <n v="90329"/>
        <n v="88662"/>
        <n v="85449"/>
        <n v="76507"/>
        <n v="73692"/>
        <n v="97911"/>
        <n v="101448"/>
        <n v="99865"/>
        <n v="101186"/>
        <n v="101895"/>
        <n v="99754"/>
        <n v="97462"/>
        <n v="94545"/>
        <n v="92237"/>
        <n v="85582"/>
        <n v="83471"/>
        <n v="74755"/>
        <n v="78216"/>
        <n v="81437"/>
        <n v="84807"/>
        <n v="87894"/>
        <n v="90642"/>
        <n v="92124"/>
        <n v="93899"/>
        <n v="95110"/>
        <n v="95237"/>
        <n v="93605"/>
        <n v="58539"/>
        <n v="62911"/>
        <n v="62763"/>
        <n v="64306"/>
        <n v="66443"/>
        <n v="69329"/>
        <n v="72196"/>
        <n v="74520"/>
        <n v="77566"/>
        <n v="84293"/>
        <n v="86971"/>
        <n v="51424"/>
        <n v="50334"/>
        <n v="48162"/>
        <n v="48627"/>
        <n v="50338"/>
        <n v="53056"/>
        <n v="54148"/>
        <n v="55131"/>
        <n v="56403"/>
        <n v="62150"/>
        <n v="64290"/>
        <n v="37246"/>
        <n v="38548"/>
        <n v="40302"/>
        <n v="41404"/>
        <n v="41965"/>
        <n v="41534"/>
        <n v="40995"/>
        <n v="39208"/>
        <n v="39898"/>
        <n v="40647"/>
        <n v="43908"/>
        <n v="18202"/>
        <n v="18929"/>
        <n v="22165"/>
        <n v="23579"/>
        <n v="24909"/>
        <n v="26298"/>
        <n v="27176"/>
        <n v="28192"/>
        <n v="28848"/>
        <n v="28449"/>
        <n v="29141"/>
        <n v="7362"/>
        <n v="8112"/>
        <n v="9212"/>
        <n v="10102"/>
        <n v="11018"/>
        <n v="12516"/>
        <n v="12634"/>
        <n v="12758"/>
        <n v="13780"/>
        <n v="16237"/>
        <n v="17743"/>
      </sharedItems>
    </cacheField>
    <cacheField name="Femer/Female" numFmtId="3">
      <sharedItems containsSemiMixedTypes="0" containsString="0" containsNumber="1" containsInteger="1" minValue="12776" maxValue="123992" count="198">
        <n v="82861"/>
        <n v="81305"/>
        <n v="80367"/>
        <n v="78890"/>
        <n v="75834"/>
        <n v="71862"/>
        <n v="69572"/>
        <n v="67002"/>
        <n v="64122"/>
        <n v="52711"/>
        <n v="51627"/>
        <n v="83774"/>
        <n v="72571"/>
        <n v="78748"/>
        <n v="79695"/>
        <n v="80038"/>
        <n v="80821"/>
        <n v="80005"/>
        <n v="78734"/>
        <n v="76099"/>
        <n v="59450"/>
        <n v="57070"/>
        <n v="98128"/>
        <n v="90696"/>
        <n v="91773"/>
        <n v="87021"/>
        <n v="84549"/>
        <n v="81172"/>
        <n v="79066"/>
        <n v="78043"/>
        <n v="78124"/>
        <n v="65353"/>
        <n v="63938"/>
        <n v="120283"/>
        <n v="113531"/>
        <n v="108144"/>
        <n v="106016"/>
        <n v="102455"/>
        <n v="96874"/>
        <n v="92509"/>
        <n v="89877"/>
        <n v="84315"/>
        <n v="69968"/>
        <n v="66376"/>
        <n v="98312"/>
        <n v="92521"/>
        <n v="123992"/>
        <n v="122604"/>
        <n v="118460"/>
        <n v="113615"/>
        <n v="109651"/>
        <n v="101448"/>
        <n v="97887"/>
        <n v="73251"/>
        <n v="70636"/>
        <n v="94903"/>
        <n v="93107"/>
        <n v="107122"/>
        <n v="112744"/>
        <n v="116409"/>
        <n v="117441"/>
        <n v="117340"/>
        <n v="115124"/>
        <n v="110867"/>
        <n v="70159"/>
        <n v="67248"/>
        <n v="102353"/>
        <n v="107685"/>
        <n v="88496"/>
        <n v="91282"/>
        <n v="93256"/>
        <n v="95093"/>
        <n v="99057"/>
        <n v="101817"/>
        <n v="104382"/>
        <n v="73605"/>
        <n v="71637"/>
        <n v="93538"/>
        <n v="95853"/>
        <n v="81621"/>
        <n v="81761"/>
        <n v="83281"/>
        <n v="85047"/>
        <n v="85911"/>
        <n v="86038"/>
        <n v="87117"/>
        <n v="72972"/>
        <n v="72020"/>
        <n v="97610"/>
        <n v="97408"/>
        <n v="85707"/>
        <n v="85182"/>
        <n v="83208"/>
        <n v="81498"/>
        <n v="80415"/>
        <n v="80438"/>
        <n v="79658"/>
        <n v="70827"/>
        <n v="70856"/>
        <n v="101110"/>
        <n v="101801"/>
        <n v="96841"/>
        <n v="93847"/>
        <n v="92099"/>
        <n v="89259"/>
        <n v="87253"/>
        <n v="84767"/>
        <n v="83658"/>
        <n v="75410"/>
        <n v="73330"/>
        <n v="107906"/>
        <n v="105322"/>
        <n v="100616"/>
        <n v="100280"/>
        <n v="98377"/>
        <n v="97345"/>
        <n v="97106"/>
        <n v="95716"/>
        <n v="92239"/>
        <n v="85755"/>
        <n v="83056"/>
        <n v="98462"/>
        <n v="103139"/>
        <n v="101027"/>
        <n v="102876"/>
        <n v="104758"/>
        <n v="103365"/>
        <n v="101163"/>
        <n v="99274"/>
        <n v="98391"/>
        <n v="91673"/>
        <n v="90673"/>
        <n v="73973"/>
        <n v="77520"/>
        <n v="83249"/>
        <n v="88368"/>
        <n v="91566"/>
        <n v="94647"/>
        <n v="96329"/>
        <n v="98838"/>
        <n v="100004"/>
        <n v="98640"/>
        <n v="97787"/>
        <n v="57295"/>
        <n v="62431"/>
        <n v="64711"/>
        <n v="66720"/>
        <n v="69607"/>
        <n v="72995"/>
        <n v="77028"/>
        <n v="80184"/>
        <n v="84570"/>
        <n v="86312"/>
        <n v="89470"/>
        <n v="53987"/>
        <n v="51300"/>
        <n v="48967"/>
        <n v="49882"/>
        <n v="52502"/>
        <n v="56701"/>
        <n v="58382"/>
        <n v="60328"/>
        <n v="61841"/>
        <n v="64517"/>
        <n v="66929"/>
        <n v="39203"/>
        <n v="41547"/>
        <n v="43854"/>
        <n v="45795"/>
        <n v="45948"/>
        <n v="44457"/>
        <n v="44359"/>
        <n v="42784"/>
        <n v="43675"/>
        <n v="42569"/>
        <n v="46631"/>
        <n v="23232"/>
        <n v="23247"/>
        <n v="24736"/>
        <n v="25846"/>
        <n v="27315"/>
        <n v="29391"/>
        <n v="30982"/>
        <n v="32848"/>
        <n v="34202"/>
        <n v="33383"/>
        <n v="33060"/>
        <n v="12776"/>
        <n v="13716"/>
        <n v="13079"/>
        <n v="12906"/>
        <n v="13171"/>
        <n v="13759"/>
        <n v="13631"/>
        <n v="13272"/>
        <n v="13713"/>
        <n v="20603"/>
        <n v="22253"/>
      </sharedItems>
    </cacheField>
    <cacheField name=" Gjithsej/Total " numFmtId="3">
      <sharedItems containsSemiMixedTypes="0" containsString="0" containsNumber="1" containsInteger="1" minValue="20138" maxValue="2541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x v="0"/>
    <x v="0"/>
    <n v="72502"/>
    <n v="70177"/>
    <n v="142679"/>
  </r>
  <r>
    <x v="0"/>
    <x v="1"/>
    <n v="69461"/>
    <n v="65980"/>
    <n v="135441"/>
  </r>
  <r>
    <x v="0"/>
    <x v="2"/>
    <n v="67397"/>
    <n v="64545"/>
    <n v="131942"/>
  </r>
  <r>
    <x v="0"/>
    <x v="3"/>
    <n v="64271"/>
    <n v="63160"/>
    <n v="127431"/>
  </r>
  <r>
    <x v="0"/>
    <x v="4"/>
    <n v="62718"/>
    <n v="62439"/>
    <n v="125157"/>
  </r>
  <r>
    <x v="0"/>
    <x v="5"/>
    <n v="61147"/>
    <n v="60856"/>
    <n v="122003"/>
  </r>
  <r>
    <x v="0"/>
    <x v="6"/>
    <n v="59715"/>
    <n v="59735"/>
    <n v="119450"/>
  </r>
  <r>
    <x v="0"/>
    <x v="7"/>
    <n v="57192"/>
    <n v="57858"/>
    <n v="115050"/>
  </r>
  <r>
    <x v="0"/>
    <x v="8"/>
    <n v="55061"/>
    <n v="56370"/>
    <n v="111431"/>
  </r>
  <r>
    <x v="0"/>
    <x v="9"/>
    <n v="69614"/>
    <n v="70915"/>
    <n v="140529"/>
  </r>
  <r>
    <x v="0"/>
    <x v="10"/>
    <n v="68700"/>
    <n v="70226"/>
    <n v="138926"/>
  </r>
  <r>
    <x v="1"/>
    <x v="0"/>
    <n v="70418"/>
    <n v="66058"/>
    <n v="136476"/>
  </r>
  <r>
    <x v="1"/>
    <x v="1"/>
    <n v="67307"/>
    <n v="61749"/>
    <n v="129056"/>
  </r>
  <r>
    <x v="1"/>
    <x v="2"/>
    <n v="65742"/>
    <n v="59837"/>
    <n v="125579"/>
  </r>
  <r>
    <x v="1"/>
    <x v="3"/>
    <n v="63083"/>
    <n v="57895"/>
    <n v="120978"/>
  </r>
  <r>
    <x v="1"/>
    <x v="4"/>
    <n v="61946"/>
    <n v="57002"/>
    <n v="118948"/>
  </r>
  <r>
    <x v="1"/>
    <x v="5"/>
    <n v="60455"/>
    <n v="55402"/>
    <n v="115857"/>
  </r>
  <r>
    <x v="1"/>
    <x v="6"/>
    <n v="59372"/>
    <n v="54311"/>
    <n v="113683"/>
  </r>
  <r>
    <x v="1"/>
    <x v="7"/>
    <n v="57145"/>
    <n v="52440"/>
    <n v="109585"/>
  </r>
  <r>
    <x v="1"/>
    <x v="8"/>
    <n v="55350"/>
    <n v="51030"/>
    <n v="106380"/>
  </r>
  <r>
    <x v="1"/>
    <x v="9"/>
    <n v="53657"/>
    <n v="52850"/>
    <n v="106507"/>
  </r>
  <r>
    <x v="1"/>
    <x v="10"/>
    <n v="52657"/>
    <n v="51967"/>
    <n v="104624"/>
  </r>
  <r>
    <x v="2"/>
    <x v="0"/>
    <n v="140206"/>
    <n v="135985"/>
    <n v="276191"/>
  </r>
  <r>
    <x v="2"/>
    <x v="1"/>
    <n v="143616"/>
    <n v="136589"/>
    <n v="280205"/>
  </r>
  <r>
    <x v="2"/>
    <x v="2"/>
    <n v="145390"/>
    <n v="139433"/>
    <n v="284823"/>
  </r>
  <r>
    <x v="2"/>
    <x v="3"/>
    <n v="146979"/>
    <n v="142649"/>
    <n v="289628"/>
  </r>
  <r>
    <x v="2"/>
    <x v="4"/>
    <n v="146760"/>
    <n v="143366"/>
    <n v="290126"/>
  </r>
  <r>
    <x v="2"/>
    <x v="5"/>
    <n v="147136"/>
    <n v="143561"/>
    <n v="290697"/>
  </r>
  <r>
    <x v="2"/>
    <x v="6"/>
    <n v="147648"/>
    <n v="144381"/>
    <n v="292029"/>
  </r>
  <r>
    <x v="2"/>
    <x v="7"/>
    <n v="147096"/>
    <n v="144229"/>
    <n v="291325"/>
  </r>
  <r>
    <x v="2"/>
    <x v="8"/>
    <n v="146040"/>
    <n v="143757"/>
    <n v="289797"/>
  </r>
  <r>
    <x v="2"/>
    <x v="9"/>
    <n v="113155"/>
    <n v="112505"/>
    <n v="225660"/>
  </r>
  <r>
    <x v="2"/>
    <x v="10"/>
    <n v="111812"/>
    <n v="111187"/>
    <n v="222999"/>
  </r>
  <r>
    <x v="3"/>
    <x v="0"/>
    <n v="153387"/>
    <n v="148010"/>
    <n v="301397"/>
  </r>
  <r>
    <x v="3"/>
    <x v="1"/>
    <n v="146834"/>
    <n v="140772"/>
    <n v="287606"/>
  </r>
  <r>
    <x v="3"/>
    <x v="2"/>
    <n v="144258"/>
    <n v="139564"/>
    <n v="283822"/>
  </r>
  <r>
    <x v="3"/>
    <x v="3"/>
    <n v="140096"/>
    <n v="138451"/>
    <n v="278547"/>
  </r>
  <r>
    <x v="3"/>
    <x v="4"/>
    <n v="137508"/>
    <n v="137474"/>
    <n v="274982"/>
  </r>
  <r>
    <x v="3"/>
    <x v="5"/>
    <n v="134707"/>
    <n v="135367"/>
    <n v="270074"/>
  </r>
  <r>
    <x v="3"/>
    <x v="6"/>
    <n v="132501"/>
    <n v="133744"/>
    <n v="266245"/>
  </r>
  <r>
    <x v="3"/>
    <x v="7"/>
    <n v="128208"/>
    <n v="130904"/>
    <n v="259112"/>
  </r>
  <r>
    <x v="3"/>
    <x v="8"/>
    <n v="124249"/>
    <n v="128470"/>
    <n v="252719"/>
  </r>
  <r>
    <x v="3"/>
    <x v="9"/>
    <n v="115746"/>
    <n v="115400"/>
    <n v="231146"/>
  </r>
  <r>
    <x v="3"/>
    <x v="10"/>
    <n v="113462"/>
    <n v="113501"/>
    <n v="226963"/>
  </r>
  <r>
    <x v="4"/>
    <x v="0"/>
    <n v="160661"/>
    <n v="154351"/>
    <n v="315012"/>
  </r>
  <r>
    <x v="4"/>
    <x v="1"/>
    <n v="157633"/>
    <n v="147475"/>
    <n v="305108"/>
  </r>
  <r>
    <x v="4"/>
    <x v="2"/>
    <n v="155524"/>
    <n v="146983"/>
    <n v="302507"/>
  </r>
  <r>
    <x v="4"/>
    <x v="3"/>
    <n v="151735"/>
    <n v="146409"/>
    <n v="298144"/>
  </r>
  <r>
    <x v="4"/>
    <x v="4"/>
    <n v="149374"/>
    <n v="145373"/>
    <n v="294747"/>
  </r>
  <r>
    <x v="4"/>
    <x v="5"/>
    <n v="146633"/>
    <n v="143256"/>
    <n v="289889"/>
  </r>
  <r>
    <x v="4"/>
    <x v="6"/>
    <n v="144281"/>
    <n v="141721"/>
    <n v="286002"/>
  </r>
  <r>
    <x v="4"/>
    <x v="7"/>
    <n v="139603"/>
    <n v="138810"/>
    <n v="278413"/>
  </r>
  <r>
    <x v="4"/>
    <x v="8"/>
    <n v="135568"/>
    <n v="136104"/>
    <n v="271672"/>
  </r>
  <r>
    <x v="4"/>
    <x v="9"/>
    <n v="119662"/>
    <n v="118771"/>
    <n v="238433"/>
  </r>
  <r>
    <x v="4"/>
    <x v="10"/>
    <n v="116879"/>
    <n v="116336"/>
    <n v="233215"/>
  </r>
  <r>
    <x v="5"/>
    <x v="0"/>
    <n v="36755"/>
    <n v="35446"/>
    <n v="72201"/>
  </r>
  <r>
    <x v="5"/>
    <x v="1"/>
    <n v="34617"/>
    <n v="33403"/>
    <n v="68020"/>
  </r>
  <r>
    <x v="5"/>
    <x v="2"/>
    <n v="33191"/>
    <n v="32748"/>
    <n v="65939"/>
  </r>
  <r>
    <x v="5"/>
    <x v="3"/>
    <n v="31109"/>
    <n v="31843"/>
    <n v="62952"/>
  </r>
  <r>
    <x v="5"/>
    <x v="4"/>
    <n v="30058"/>
    <n v="31365"/>
    <n v="61423"/>
  </r>
  <r>
    <x v="5"/>
    <x v="5"/>
    <n v="28928"/>
    <n v="30453"/>
    <n v="59381"/>
  </r>
  <r>
    <x v="5"/>
    <x v="6"/>
    <n v="28112"/>
    <n v="29919"/>
    <n v="58031"/>
  </r>
  <r>
    <x v="5"/>
    <x v="7"/>
    <n v="26567"/>
    <n v="28711"/>
    <n v="55278"/>
  </r>
  <r>
    <x v="5"/>
    <x v="8"/>
    <n v="25407"/>
    <n v="27907"/>
    <n v="53314"/>
  </r>
  <r>
    <x v="5"/>
    <x v="9"/>
    <n v="29989"/>
    <n v="29540"/>
    <n v="59529"/>
  </r>
  <r>
    <x v="5"/>
    <x v="10"/>
    <n v="29457"/>
    <n v="28999"/>
    <n v="58456"/>
  </r>
  <r>
    <x v="6"/>
    <x v="0"/>
    <n v="114277"/>
    <n v="109888"/>
    <n v="224165"/>
  </r>
  <r>
    <x v="6"/>
    <x v="1"/>
    <n v="110480"/>
    <n v="106942"/>
    <n v="217422"/>
  </r>
  <r>
    <x v="6"/>
    <x v="2"/>
    <n v="108337"/>
    <n v="105984"/>
    <n v="214321"/>
  </r>
  <r>
    <x v="6"/>
    <x v="3"/>
    <n v="105080"/>
    <n v="105098"/>
    <n v="210178"/>
  </r>
  <r>
    <x v="6"/>
    <x v="4"/>
    <n v="103389"/>
    <n v="104500"/>
    <n v="207889"/>
  </r>
  <r>
    <x v="6"/>
    <x v="5"/>
    <n v="101774"/>
    <n v="103057"/>
    <n v="204831"/>
  </r>
  <r>
    <x v="6"/>
    <x v="6"/>
    <n v="100228"/>
    <n v="101965"/>
    <n v="202193"/>
  </r>
  <r>
    <x v="6"/>
    <x v="7"/>
    <n v="97235"/>
    <n v="100068"/>
    <n v="197303"/>
  </r>
  <r>
    <x v="6"/>
    <x v="8"/>
    <n v="94488"/>
    <n v="98437"/>
    <n v="192925"/>
  </r>
  <r>
    <x v="6"/>
    <x v="9"/>
    <n v="86535"/>
    <n v="85160"/>
    <n v="171695"/>
  </r>
  <r>
    <x v="6"/>
    <x v="10"/>
    <n v="84724"/>
    <n v="83340"/>
    <n v="168064"/>
  </r>
  <r>
    <x v="7"/>
    <x v="0"/>
    <n v="43520"/>
    <n v="41941"/>
    <n v="85461"/>
  </r>
  <r>
    <x v="7"/>
    <x v="1"/>
    <n v="41675"/>
    <n v="39619"/>
    <n v="81294"/>
  </r>
  <r>
    <x v="7"/>
    <x v="2"/>
    <n v="40925"/>
    <n v="38634"/>
    <n v="79559"/>
  </r>
  <r>
    <x v="7"/>
    <x v="3"/>
    <n v="39677"/>
    <n v="37717"/>
    <n v="77394"/>
  </r>
  <r>
    <x v="7"/>
    <x v="4"/>
    <n v="39305"/>
    <n v="37289"/>
    <n v="76594"/>
  </r>
  <r>
    <x v="7"/>
    <x v="5"/>
    <n v="38748"/>
    <n v="36680"/>
    <n v="75428"/>
  </r>
  <r>
    <x v="7"/>
    <x v="6"/>
    <n v="38213"/>
    <n v="36175"/>
    <n v="74388"/>
  </r>
  <r>
    <x v="7"/>
    <x v="7"/>
    <n v="37361"/>
    <n v="35407"/>
    <n v="72768"/>
  </r>
  <r>
    <x v="7"/>
    <x v="8"/>
    <n v="36715"/>
    <n v="34783"/>
    <n v="71498"/>
  </r>
  <r>
    <x v="7"/>
    <x v="9"/>
    <n v="30900"/>
    <n v="30710"/>
    <n v="61610"/>
  </r>
  <r>
    <x v="7"/>
    <x v="10"/>
    <n v="30219"/>
    <n v="29988"/>
    <n v="60207"/>
  </r>
  <r>
    <x v="8"/>
    <x v="0"/>
    <n v="69280"/>
    <n v="67534"/>
    <n v="136814"/>
  </r>
  <r>
    <x v="8"/>
    <x v="1"/>
    <n v="66676"/>
    <n v="63582"/>
    <n v="130258"/>
  </r>
  <r>
    <x v="8"/>
    <x v="2"/>
    <n v="65642"/>
    <n v="63377"/>
    <n v="129019"/>
  </r>
  <r>
    <x v="8"/>
    <x v="3"/>
    <n v="63600"/>
    <n v="63200"/>
    <n v="126800"/>
  </r>
  <r>
    <x v="8"/>
    <x v="4"/>
    <n v="62282"/>
    <n v="62913"/>
    <n v="125195"/>
  </r>
  <r>
    <x v="8"/>
    <x v="5"/>
    <n v="60977"/>
    <n v="61723"/>
    <n v="122700"/>
  </r>
  <r>
    <x v="8"/>
    <x v="6"/>
    <n v="59826"/>
    <n v="60852"/>
    <n v="120678"/>
  </r>
  <r>
    <x v="8"/>
    <x v="7"/>
    <n v="57775"/>
    <n v="59508"/>
    <n v="117283"/>
  </r>
  <r>
    <x v="8"/>
    <x v="8"/>
    <n v="56017"/>
    <n v="58164"/>
    <n v="114181"/>
  </r>
  <r>
    <x v="8"/>
    <x v="9"/>
    <n v="49232"/>
    <n v="49357"/>
    <n v="98589"/>
  </r>
  <r>
    <x v="8"/>
    <x v="10"/>
    <n v="48146"/>
    <n v="48238"/>
    <n v="96384"/>
  </r>
  <r>
    <x v="9"/>
    <x v="0"/>
    <n v="109202"/>
    <n v="109321"/>
    <n v="218523"/>
  </r>
  <r>
    <x v="9"/>
    <x v="1"/>
    <n v="105025"/>
    <n v="105143"/>
    <n v="210168"/>
  </r>
  <r>
    <x v="9"/>
    <x v="2"/>
    <n v="103370"/>
    <n v="104554"/>
    <n v="207924"/>
  </r>
  <r>
    <x v="9"/>
    <x v="3"/>
    <n v="100857"/>
    <n v="104137"/>
    <n v="204994"/>
  </r>
  <r>
    <x v="9"/>
    <x v="4"/>
    <n v="99264"/>
    <n v="103631"/>
    <n v="202895"/>
  </r>
  <r>
    <x v="9"/>
    <x v="5"/>
    <n v="97774"/>
    <n v="102233"/>
    <n v="200007"/>
  </r>
  <r>
    <x v="9"/>
    <x v="6"/>
    <n v="96097"/>
    <n v="101080"/>
    <n v="197177"/>
  </r>
  <r>
    <x v="9"/>
    <x v="7"/>
    <n v="93707"/>
    <n v="99302"/>
    <n v="193009"/>
  </r>
  <r>
    <x v="9"/>
    <x v="8"/>
    <n v="91436"/>
    <n v="97728"/>
    <n v="189164"/>
  </r>
  <r>
    <x v="9"/>
    <x v="9"/>
    <n v="75709"/>
    <n v="77544"/>
    <n v="153253"/>
  </r>
  <r>
    <x v="9"/>
    <x v="10"/>
    <n v="73735"/>
    <n v="75761"/>
    <n v="149496"/>
  </r>
  <r>
    <x v="10"/>
    <x v="0"/>
    <n v="399157"/>
    <n v="401829"/>
    <n v="800986"/>
  </r>
  <r>
    <x v="10"/>
    <x v="1"/>
    <n v="419351"/>
    <n v="423630"/>
    <n v="842981"/>
  </r>
  <r>
    <x v="10"/>
    <x v="2"/>
    <n v="427915"/>
    <n v="434446"/>
    <n v="862361"/>
  </r>
  <r>
    <x v="10"/>
    <x v="3"/>
    <n v="436917"/>
    <n v="447079"/>
    <n v="883996"/>
  </r>
  <r>
    <x v="10"/>
    <x v="4"/>
    <n v="442011"/>
    <n v="453149"/>
    <n v="895160"/>
  </r>
  <r>
    <x v="10"/>
    <x v="5"/>
    <n v="447525"/>
    <n v="458641"/>
    <n v="906166"/>
  </r>
  <r>
    <x v="10"/>
    <x v="6"/>
    <n v="449929"/>
    <n v="462261"/>
    <n v="912190"/>
  </r>
  <r>
    <x v="10"/>
    <x v="7"/>
    <n v="452793"/>
    <n v="466718"/>
    <n v="919511"/>
  </r>
  <r>
    <x v="10"/>
    <x v="8"/>
    <n v="455207"/>
    <n v="470061"/>
    <n v="925268"/>
  </r>
  <r>
    <x v="10"/>
    <x v="9"/>
    <n v="366854"/>
    <n v="391361"/>
    <n v="758215"/>
  </r>
  <r>
    <x v="10"/>
    <x v="10"/>
    <n v="367099"/>
    <n v="392882"/>
    <n v="759981"/>
  </r>
  <r>
    <x v="11"/>
    <x v="0"/>
    <n v="92618"/>
    <n v="90482"/>
    <n v="183100"/>
  </r>
  <r>
    <x v="11"/>
    <x v="1"/>
    <n v="95776"/>
    <n v="92257"/>
    <n v="188033"/>
  </r>
  <r>
    <x v="11"/>
    <x v="2"/>
    <n v="95850"/>
    <n v="92945"/>
    <n v="188795"/>
  </r>
  <r>
    <x v="11"/>
    <x v="3"/>
    <n v="95205"/>
    <n v="94077"/>
    <n v="189282"/>
  </r>
  <r>
    <x v="11"/>
    <x v="4"/>
    <n v="94979"/>
    <n v="94332"/>
    <n v="189311"/>
  </r>
  <r>
    <x v="11"/>
    <x v="5"/>
    <n v="94809"/>
    <n v="94113"/>
    <n v="188922"/>
  </r>
  <r>
    <x v="11"/>
    <x v="6"/>
    <n v="94060"/>
    <n v="93615"/>
    <n v="187675"/>
  </r>
  <r>
    <x v="11"/>
    <x v="7"/>
    <n v="92378"/>
    <n v="92577"/>
    <n v="184955"/>
  </r>
  <r>
    <x v="11"/>
    <x v="8"/>
    <n v="91383"/>
    <n v="92053"/>
    <n v="183436"/>
  </r>
  <r>
    <x v="11"/>
    <x v="9"/>
    <n v="72731"/>
    <n v="73045"/>
    <n v="145776"/>
  </r>
  <r>
    <x v="11"/>
    <x v="10"/>
    <n v="71827"/>
    <n v="72172"/>
    <n v="143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x v="0"/>
    <x v="0"/>
    <x v="0"/>
    <x v="0"/>
    <n v="171394"/>
  </r>
  <r>
    <x v="0"/>
    <x v="1"/>
    <x v="1"/>
    <x v="1"/>
    <n v="167582"/>
  </r>
  <r>
    <x v="0"/>
    <x v="2"/>
    <x v="2"/>
    <x v="2"/>
    <n v="166605"/>
  </r>
  <r>
    <x v="0"/>
    <x v="3"/>
    <x v="3"/>
    <x v="3"/>
    <n v="162416"/>
  </r>
  <r>
    <x v="0"/>
    <x v="4"/>
    <x v="4"/>
    <x v="4"/>
    <n v="155622"/>
  </r>
  <r>
    <x v="0"/>
    <x v="5"/>
    <x v="5"/>
    <x v="5"/>
    <n v="147907"/>
  </r>
  <r>
    <x v="0"/>
    <x v="6"/>
    <x v="6"/>
    <x v="6"/>
    <n v="143546"/>
  </r>
  <r>
    <x v="0"/>
    <x v="7"/>
    <x v="7"/>
    <x v="7"/>
    <n v="138491"/>
  </r>
  <r>
    <x v="0"/>
    <x v="8"/>
    <x v="8"/>
    <x v="8"/>
    <n v="132008"/>
  </r>
  <r>
    <x v="0"/>
    <x v="9"/>
    <x v="9"/>
    <x v="9"/>
    <n v="109854"/>
  </r>
  <r>
    <x v="0"/>
    <x v="10"/>
    <x v="10"/>
    <x v="10"/>
    <n v="107120"/>
  </r>
  <r>
    <x v="1"/>
    <x v="0"/>
    <x v="11"/>
    <x v="11"/>
    <n v="242433"/>
  </r>
  <r>
    <x v="1"/>
    <x v="1"/>
    <x v="12"/>
    <x v="12"/>
    <n v="153534"/>
  </r>
  <r>
    <x v="1"/>
    <x v="2"/>
    <x v="13"/>
    <x v="13"/>
    <n v="164309"/>
  </r>
  <r>
    <x v="1"/>
    <x v="3"/>
    <x v="14"/>
    <x v="14"/>
    <n v="163875"/>
  </r>
  <r>
    <x v="1"/>
    <x v="4"/>
    <x v="15"/>
    <x v="15"/>
    <n v="163452"/>
  </r>
  <r>
    <x v="1"/>
    <x v="5"/>
    <x v="16"/>
    <x v="16"/>
    <n v="164185"/>
  </r>
  <r>
    <x v="1"/>
    <x v="6"/>
    <x v="17"/>
    <x v="17"/>
    <n v="161713"/>
  </r>
  <r>
    <x v="1"/>
    <x v="7"/>
    <x v="18"/>
    <x v="18"/>
    <n v="158578"/>
  </r>
  <r>
    <x v="1"/>
    <x v="8"/>
    <x v="19"/>
    <x v="19"/>
    <n v="153358"/>
  </r>
  <r>
    <x v="1"/>
    <x v="9"/>
    <x v="20"/>
    <x v="20"/>
    <n v="123766"/>
  </r>
  <r>
    <x v="1"/>
    <x v="10"/>
    <x v="21"/>
    <x v="21"/>
    <n v="118792"/>
  </r>
  <r>
    <x v="2"/>
    <x v="0"/>
    <x v="22"/>
    <x v="22"/>
    <n v="203616"/>
  </r>
  <r>
    <x v="2"/>
    <x v="1"/>
    <x v="23"/>
    <x v="23"/>
    <n v="188697"/>
  </r>
  <r>
    <x v="2"/>
    <x v="2"/>
    <x v="24"/>
    <x v="24"/>
    <n v="191196"/>
  </r>
  <r>
    <x v="2"/>
    <x v="3"/>
    <x v="25"/>
    <x v="25"/>
    <n v="180659"/>
  </r>
  <r>
    <x v="2"/>
    <x v="4"/>
    <x v="26"/>
    <x v="26"/>
    <n v="174350"/>
  </r>
  <r>
    <x v="2"/>
    <x v="5"/>
    <x v="27"/>
    <x v="27"/>
    <n v="166758"/>
  </r>
  <r>
    <x v="2"/>
    <x v="6"/>
    <x v="28"/>
    <x v="28"/>
    <n v="162107"/>
  </r>
  <r>
    <x v="2"/>
    <x v="7"/>
    <x v="29"/>
    <x v="29"/>
    <n v="159019"/>
  </r>
  <r>
    <x v="2"/>
    <x v="8"/>
    <x v="30"/>
    <x v="30"/>
    <n v="157861"/>
  </r>
  <r>
    <x v="2"/>
    <x v="9"/>
    <x v="31"/>
    <x v="31"/>
    <n v="135773"/>
  </r>
  <r>
    <x v="2"/>
    <x v="10"/>
    <x v="32"/>
    <x v="32"/>
    <n v="132436"/>
  </r>
  <r>
    <x v="3"/>
    <x v="0"/>
    <x v="33"/>
    <x v="33"/>
    <n v="246534"/>
  </r>
  <r>
    <x v="3"/>
    <x v="1"/>
    <x v="34"/>
    <x v="34"/>
    <n v="233519"/>
  </r>
  <r>
    <x v="3"/>
    <x v="2"/>
    <x v="35"/>
    <x v="35"/>
    <n v="220937"/>
  </r>
  <r>
    <x v="3"/>
    <x v="3"/>
    <x v="36"/>
    <x v="36"/>
    <n v="214636"/>
  </r>
  <r>
    <x v="3"/>
    <x v="4"/>
    <x v="37"/>
    <x v="37"/>
    <n v="207192"/>
  </r>
  <r>
    <x v="3"/>
    <x v="5"/>
    <x v="38"/>
    <x v="38"/>
    <n v="197333"/>
  </r>
  <r>
    <x v="3"/>
    <x v="6"/>
    <x v="39"/>
    <x v="39"/>
    <n v="189075"/>
  </r>
  <r>
    <x v="3"/>
    <x v="7"/>
    <x v="40"/>
    <x v="40"/>
    <n v="183197"/>
  </r>
  <r>
    <x v="3"/>
    <x v="8"/>
    <x v="41"/>
    <x v="41"/>
    <n v="172076"/>
  </r>
  <r>
    <x v="3"/>
    <x v="9"/>
    <x v="42"/>
    <x v="42"/>
    <n v="141311"/>
  </r>
  <r>
    <x v="3"/>
    <x v="10"/>
    <x v="43"/>
    <x v="43"/>
    <n v="135832"/>
  </r>
  <r>
    <x v="4"/>
    <x v="0"/>
    <x v="44"/>
    <x v="44"/>
    <n v="217769"/>
  </r>
  <r>
    <x v="4"/>
    <x v="1"/>
    <x v="45"/>
    <x v="45"/>
    <n v="208378"/>
  </r>
  <r>
    <x v="4"/>
    <x v="2"/>
    <x v="46"/>
    <x v="46"/>
    <n v="254172"/>
  </r>
  <r>
    <x v="4"/>
    <x v="3"/>
    <x v="47"/>
    <x v="47"/>
    <n v="247137"/>
  </r>
  <r>
    <x v="4"/>
    <x v="4"/>
    <x v="48"/>
    <x v="48"/>
    <n v="236982"/>
  </r>
  <r>
    <x v="4"/>
    <x v="5"/>
    <x v="49"/>
    <x v="49"/>
    <n v="226425"/>
  </r>
  <r>
    <x v="4"/>
    <x v="6"/>
    <x v="50"/>
    <x v="50"/>
    <n v="218787"/>
  </r>
  <r>
    <x v="4"/>
    <x v="7"/>
    <x v="51"/>
    <x v="51"/>
    <n v="203263"/>
  </r>
  <r>
    <x v="4"/>
    <x v="8"/>
    <x v="52"/>
    <x v="52"/>
    <n v="196240"/>
  </r>
  <r>
    <x v="4"/>
    <x v="9"/>
    <x v="53"/>
    <x v="53"/>
    <n v="141372"/>
  </r>
  <r>
    <x v="4"/>
    <x v="10"/>
    <x v="54"/>
    <x v="54"/>
    <n v="135995"/>
  </r>
  <r>
    <x v="5"/>
    <x v="0"/>
    <x v="55"/>
    <x v="55"/>
    <n v="210801"/>
  </r>
  <r>
    <x v="5"/>
    <x v="1"/>
    <x v="56"/>
    <x v="56"/>
    <n v="209071"/>
  </r>
  <r>
    <x v="5"/>
    <x v="2"/>
    <x v="57"/>
    <x v="57"/>
    <n v="230218"/>
  </r>
  <r>
    <x v="5"/>
    <x v="3"/>
    <x v="58"/>
    <x v="58"/>
    <n v="234063"/>
  </r>
  <r>
    <x v="5"/>
    <x v="4"/>
    <x v="59"/>
    <x v="59"/>
    <n v="237378"/>
  </r>
  <r>
    <x v="5"/>
    <x v="5"/>
    <x v="60"/>
    <x v="60"/>
    <n v="237607"/>
  </r>
  <r>
    <x v="5"/>
    <x v="6"/>
    <x v="61"/>
    <x v="61"/>
    <n v="235197"/>
  </r>
  <r>
    <x v="5"/>
    <x v="7"/>
    <x v="62"/>
    <x v="62"/>
    <n v="228892"/>
  </r>
  <r>
    <x v="5"/>
    <x v="8"/>
    <x v="63"/>
    <x v="63"/>
    <n v="219572"/>
  </r>
  <r>
    <x v="5"/>
    <x v="9"/>
    <x v="64"/>
    <x v="64"/>
    <n v="141482"/>
  </r>
  <r>
    <x v="5"/>
    <x v="10"/>
    <x v="65"/>
    <x v="65"/>
    <n v="134005"/>
  </r>
  <r>
    <x v="6"/>
    <x v="0"/>
    <x v="66"/>
    <x v="66"/>
    <n v="204861"/>
  </r>
  <r>
    <x v="6"/>
    <x v="1"/>
    <x v="67"/>
    <x v="67"/>
    <n v="218674"/>
  </r>
  <r>
    <x v="6"/>
    <x v="2"/>
    <x v="68"/>
    <x v="68"/>
    <n v="189712"/>
  </r>
  <r>
    <x v="6"/>
    <x v="3"/>
    <x v="69"/>
    <x v="69"/>
    <n v="194459"/>
  </r>
  <r>
    <x v="6"/>
    <x v="4"/>
    <x v="70"/>
    <x v="70"/>
    <n v="197702"/>
  </r>
  <r>
    <x v="6"/>
    <x v="5"/>
    <x v="71"/>
    <x v="71"/>
    <n v="200941"/>
  </r>
  <r>
    <x v="6"/>
    <x v="6"/>
    <x v="72"/>
    <x v="72"/>
    <n v="208052"/>
  </r>
  <r>
    <x v="6"/>
    <x v="7"/>
    <x v="73"/>
    <x v="73"/>
    <n v="209227"/>
  </r>
  <r>
    <x v="6"/>
    <x v="8"/>
    <x v="74"/>
    <x v="74"/>
    <n v="209944"/>
  </r>
  <r>
    <x v="6"/>
    <x v="9"/>
    <x v="75"/>
    <x v="75"/>
    <n v="151779"/>
  </r>
  <r>
    <x v="6"/>
    <x v="10"/>
    <x v="76"/>
    <x v="76"/>
    <n v="146390"/>
  </r>
  <r>
    <x v="7"/>
    <x v="0"/>
    <x v="77"/>
    <x v="77"/>
    <n v="179402"/>
  </r>
  <r>
    <x v="7"/>
    <x v="1"/>
    <x v="78"/>
    <x v="78"/>
    <n v="185052"/>
  </r>
  <r>
    <x v="7"/>
    <x v="2"/>
    <x v="79"/>
    <x v="79"/>
    <n v="163850"/>
  </r>
  <r>
    <x v="7"/>
    <x v="3"/>
    <x v="80"/>
    <x v="80"/>
    <n v="164817"/>
  </r>
  <r>
    <x v="7"/>
    <x v="4"/>
    <x v="81"/>
    <x v="81"/>
    <n v="169105"/>
  </r>
  <r>
    <x v="7"/>
    <x v="5"/>
    <x v="82"/>
    <x v="82"/>
    <n v="174172"/>
  </r>
  <r>
    <x v="7"/>
    <x v="6"/>
    <x v="83"/>
    <x v="83"/>
    <n v="176959"/>
  </r>
  <r>
    <x v="7"/>
    <x v="7"/>
    <x v="84"/>
    <x v="84"/>
    <n v="178461"/>
  </r>
  <r>
    <x v="7"/>
    <x v="8"/>
    <x v="85"/>
    <x v="85"/>
    <n v="181038"/>
  </r>
  <r>
    <x v="7"/>
    <x v="9"/>
    <x v="86"/>
    <x v="86"/>
    <n v="151295"/>
  </r>
  <r>
    <x v="7"/>
    <x v="10"/>
    <x v="87"/>
    <x v="87"/>
    <n v="150141"/>
  </r>
  <r>
    <x v="8"/>
    <x v="0"/>
    <x v="88"/>
    <x v="88"/>
    <n v="186375"/>
  </r>
  <r>
    <x v="8"/>
    <x v="1"/>
    <x v="89"/>
    <x v="89"/>
    <n v="186229"/>
  </r>
  <r>
    <x v="8"/>
    <x v="2"/>
    <x v="90"/>
    <x v="90"/>
    <n v="166499"/>
  </r>
  <r>
    <x v="8"/>
    <x v="3"/>
    <x v="91"/>
    <x v="91"/>
    <n v="165031"/>
  </r>
  <r>
    <x v="8"/>
    <x v="4"/>
    <x v="92"/>
    <x v="92"/>
    <n v="162381"/>
  </r>
  <r>
    <x v="8"/>
    <x v="5"/>
    <x v="93"/>
    <x v="93"/>
    <n v="160519"/>
  </r>
  <r>
    <x v="8"/>
    <x v="6"/>
    <x v="94"/>
    <x v="94"/>
    <n v="159414"/>
  </r>
  <r>
    <x v="8"/>
    <x v="7"/>
    <x v="95"/>
    <x v="95"/>
    <n v="159965"/>
  </r>
  <r>
    <x v="8"/>
    <x v="8"/>
    <x v="96"/>
    <x v="96"/>
    <n v="159616"/>
  </r>
  <r>
    <x v="8"/>
    <x v="9"/>
    <x v="97"/>
    <x v="97"/>
    <n v="138918"/>
  </r>
  <r>
    <x v="8"/>
    <x v="10"/>
    <x v="98"/>
    <x v="98"/>
    <n v="140301"/>
  </r>
  <r>
    <x v="9"/>
    <x v="0"/>
    <x v="99"/>
    <x v="99"/>
    <n v="195908"/>
  </r>
  <r>
    <x v="9"/>
    <x v="1"/>
    <x v="100"/>
    <x v="100"/>
    <n v="197102"/>
  </r>
  <r>
    <x v="9"/>
    <x v="2"/>
    <x v="101"/>
    <x v="101"/>
    <n v="187034"/>
  </r>
  <r>
    <x v="9"/>
    <x v="3"/>
    <x v="102"/>
    <x v="102"/>
    <n v="181015"/>
  </r>
  <r>
    <x v="9"/>
    <x v="4"/>
    <x v="103"/>
    <x v="103"/>
    <n v="177316"/>
  </r>
  <r>
    <x v="9"/>
    <x v="5"/>
    <x v="104"/>
    <x v="104"/>
    <n v="172500"/>
  </r>
  <r>
    <x v="9"/>
    <x v="6"/>
    <x v="105"/>
    <x v="105"/>
    <n v="168847"/>
  </r>
  <r>
    <x v="9"/>
    <x v="7"/>
    <x v="106"/>
    <x v="106"/>
    <n v="164340"/>
  </r>
  <r>
    <x v="9"/>
    <x v="8"/>
    <x v="107"/>
    <x v="107"/>
    <n v="162146"/>
  </r>
  <r>
    <x v="9"/>
    <x v="9"/>
    <x v="108"/>
    <x v="108"/>
    <n v="142838"/>
  </r>
  <r>
    <x v="9"/>
    <x v="10"/>
    <x v="109"/>
    <x v="109"/>
    <n v="139622"/>
  </r>
  <r>
    <x v="10"/>
    <x v="0"/>
    <x v="110"/>
    <x v="110"/>
    <n v="212616"/>
  </r>
  <r>
    <x v="10"/>
    <x v="1"/>
    <x v="111"/>
    <x v="111"/>
    <n v="206790"/>
  </r>
  <r>
    <x v="10"/>
    <x v="2"/>
    <x v="112"/>
    <x v="112"/>
    <n v="198530"/>
  </r>
  <r>
    <x v="10"/>
    <x v="3"/>
    <x v="113"/>
    <x v="113"/>
    <n v="195813"/>
  </r>
  <r>
    <x v="10"/>
    <x v="4"/>
    <x v="114"/>
    <x v="114"/>
    <n v="191618"/>
  </r>
  <r>
    <x v="10"/>
    <x v="5"/>
    <x v="115"/>
    <x v="115"/>
    <n v="189164"/>
  </r>
  <r>
    <x v="10"/>
    <x v="6"/>
    <x v="116"/>
    <x v="116"/>
    <n v="187435"/>
  </r>
  <r>
    <x v="10"/>
    <x v="7"/>
    <x v="117"/>
    <x v="117"/>
    <n v="184378"/>
  </r>
  <r>
    <x v="10"/>
    <x v="8"/>
    <x v="118"/>
    <x v="118"/>
    <n v="177688"/>
  </r>
  <r>
    <x v="10"/>
    <x v="9"/>
    <x v="119"/>
    <x v="119"/>
    <n v="162262"/>
  </r>
  <r>
    <x v="10"/>
    <x v="10"/>
    <x v="120"/>
    <x v="120"/>
    <n v="156748"/>
  </r>
  <r>
    <x v="11"/>
    <x v="0"/>
    <x v="121"/>
    <x v="121"/>
    <n v="196373"/>
  </r>
  <r>
    <x v="11"/>
    <x v="1"/>
    <x v="122"/>
    <x v="122"/>
    <n v="204587"/>
  </r>
  <r>
    <x v="11"/>
    <x v="2"/>
    <x v="123"/>
    <x v="123"/>
    <n v="200892"/>
  </r>
  <r>
    <x v="11"/>
    <x v="3"/>
    <x v="124"/>
    <x v="124"/>
    <n v="204062"/>
  </r>
  <r>
    <x v="11"/>
    <x v="4"/>
    <x v="125"/>
    <x v="125"/>
    <n v="206653"/>
  </r>
  <r>
    <x v="11"/>
    <x v="5"/>
    <x v="126"/>
    <x v="126"/>
    <n v="203119"/>
  </r>
  <r>
    <x v="11"/>
    <x v="6"/>
    <x v="127"/>
    <x v="127"/>
    <n v="198625"/>
  </r>
  <r>
    <x v="11"/>
    <x v="7"/>
    <x v="128"/>
    <x v="128"/>
    <n v="193819"/>
  </r>
  <r>
    <x v="11"/>
    <x v="8"/>
    <x v="129"/>
    <x v="129"/>
    <n v="190628"/>
  </r>
  <r>
    <x v="11"/>
    <x v="9"/>
    <x v="130"/>
    <x v="130"/>
    <n v="177255"/>
  </r>
  <r>
    <x v="11"/>
    <x v="10"/>
    <x v="131"/>
    <x v="131"/>
    <n v="174144"/>
  </r>
  <r>
    <x v="12"/>
    <x v="0"/>
    <x v="132"/>
    <x v="132"/>
    <n v="148728"/>
  </r>
  <r>
    <x v="12"/>
    <x v="1"/>
    <x v="133"/>
    <x v="133"/>
    <n v="155736"/>
  </r>
  <r>
    <x v="12"/>
    <x v="2"/>
    <x v="134"/>
    <x v="134"/>
    <n v="164686"/>
  </r>
  <r>
    <x v="12"/>
    <x v="3"/>
    <x v="135"/>
    <x v="135"/>
    <n v="173175"/>
  </r>
  <r>
    <x v="12"/>
    <x v="4"/>
    <x v="136"/>
    <x v="136"/>
    <n v="179460"/>
  </r>
  <r>
    <x v="12"/>
    <x v="5"/>
    <x v="137"/>
    <x v="137"/>
    <n v="185289"/>
  </r>
  <r>
    <x v="12"/>
    <x v="6"/>
    <x v="138"/>
    <x v="138"/>
    <n v="188453"/>
  </r>
  <r>
    <x v="12"/>
    <x v="7"/>
    <x v="139"/>
    <x v="139"/>
    <n v="192737"/>
  </r>
  <r>
    <x v="12"/>
    <x v="8"/>
    <x v="140"/>
    <x v="140"/>
    <n v="195114"/>
  </r>
  <r>
    <x v="12"/>
    <x v="9"/>
    <x v="141"/>
    <x v="141"/>
    <n v="193877"/>
  </r>
  <r>
    <x v="12"/>
    <x v="10"/>
    <x v="142"/>
    <x v="142"/>
    <n v="191392"/>
  </r>
  <r>
    <x v="13"/>
    <x v="0"/>
    <x v="143"/>
    <x v="143"/>
    <n v="115834"/>
  </r>
  <r>
    <x v="13"/>
    <x v="1"/>
    <x v="144"/>
    <x v="144"/>
    <n v="125342"/>
  </r>
  <r>
    <x v="13"/>
    <x v="2"/>
    <x v="145"/>
    <x v="145"/>
    <n v="127474"/>
  </r>
  <r>
    <x v="13"/>
    <x v="3"/>
    <x v="146"/>
    <x v="146"/>
    <n v="131026"/>
  </r>
  <r>
    <x v="13"/>
    <x v="4"/>
    <x v="147"/>
    <x v="147"/>
    <n v="136050"/>
  </r>
  <r>
    <x v="13"/>
    <x v="5"/>
    <x v="148"/>
    <x v="148"/>
    <n v="142324"/>
  </r>
  <r>
    <x v="13"/>
    <x v="6"/>
    <x v="149"/>
    <x v="149"/>
    <n v="149224"/>
  </r>
  <r>
    <x v="13"/>
    <x v="7"/>
    <x v="150"/>
    <x v="150"/>
    <n v="154704"/>
  </r>
  <r>
    <x v="13"/>
    <x v="8"/>
    <x v="151"/>
    <x v="151"/>
    <n v="162136"/>
  </r>
  <r>
    <x v="13"/>
    <x v="9"/>
    <x v="152"/>
    <x v="152"/>
    <n v="170605"/>
  </r>
  <r>
    <x v="13"/>
    <x v="10"/>
    <x v="153"/>
    <x v="153"/>
    <n v="176441"/>
  </r>
  <r>
    <x v="14"/>
    <x v="0"/>
    <x v="154"/>
    <x v="154"/>
    <n v="105411"/>
  </r>
  <r>
    <x v="14"/>
    <x v="1"/>
    <x v="155"/>
    <x v="155"/>
    <n v="101634"/>
  </r>
  <r>
    <x v="14"/>
    <x v="2"/>
    <x v="156"/>
    <x v="156"/>
    <n v="97129"/>
  </r>
  <r>
    <x v="14"/>
    <x v="3"/>
    <x v="157"/>
    <x v="157"/>
    <n v="98509"/>
  </r>
  <r>
    <x v="14"/>
    <x v="4"/>
    <x v="158"/>
    <x v="158"/>
    <n v="102840"/>
  </r>
  <r>
    <x v="14"/>
    <x v="5"/>
    <x v="159"/>
    <x v="159"/>
    <n v="109757"/>
  </r>
  <r>
    <x v="14"/>
    <x v="6"/>
    <x v="160"/>
    <x v="160"/>
    <n v="112530"/>
  </r>
  <r>
    <x v="14"/>
    <x v="7"/>
    <x v="161"/>
    <x v="161"/>
    <n v="115459"/>
  </r>
  <r>
    <x v="14"/>
    <x v="8"/>
    <x v="162"/>
    <x v="162"/>
    <n v="118244"/>
  </r>
  <r>
    <x v="14"/>
    <x v="9"/>
    <x v="163"/>
    <x v="163"/>
    <n v="126667"/>
  </r>
  <r>
    <x v="14"/>
    <x v="10"/>
    <x v="164"/>
    <x v="164"/>
    <n v="131219"/>
  </r>
  <r>
    <x v="15"/>
    <x v="0"/>
    <x v="165"/>
    <x v="165"/>
    <n v="76449"/>
  </r>
  <r>
    <x v="15"/>
    <x v="1"/>
    <x v="166"/>
    <x v="166"/>
    <n v="80095"/>
  </r>
  <r>
    <x v="15"/>
    <x v="2"/>
    <x v="167"/>
    <x v="167"/>
    <n v="84156"/>
  </r>
  <r>
    <x v="15"/>
    <x v="3"/>
    <x v="168"/>
    <x v="168"/>
    <n v="87199"/>
  </r>
  <r>
    <x v="15"/>
    <x v="4"/>
    <x v="169"/>
    <x v="169"/>
    <n v="87913"/>
  </r>
  <r>
    <x v="15"/>
    <x v="5"/>
    <x v="170"/>
    <x v="170"/>
    <n v="85991"/>
  </r>
  <r>
    <x v="15"/>
    <x v="6"/>
    <x v="171"/>
    <x v="171"/>
    <n v="85354"/>
  </r>
  <r>
    <x v="15"/>
    <x v="7"/>
    <x v="172"/>
    <x v="172"/>
    <n v="81992"/>
  </r>
  <r>
    <x v="15"/>
    <x v="8"/>
    <x v="173"/>
    <x v="173"/>
    <n v="83573"/>
  </r>
  <r>
    <x v="15"/>
    <x v="9"/>
    <x v="174"/>
    <x v="174"/>
    <n v="83216"/>
  </r>
  <r>
    <x v="15"/>
    <x v="10"/>
    <x v="175"/>
    <x v="175"/>
    <n v="90539"/>
  </r>
  <r>
    <x v="16"/>
    <x v="0"/>
    <x v="176"/>
    <x v="176"/>
    <n v="41434"/>
  </r>
  <r>
    <x v="16"/>
    <x v="1"/>
    <x v="177"/>
    <x v="177"/>
    <n v="42176"/>
  </r>
  <r>
    <x v="16"/>
    <x v="2"/>
    <x v="178"/>
    <x v="178"/>
    <n v="46901"/>
  </r>
  <r>
    <x v="16"/>
    <x v="3"/>
    <x v="179"/>
    <x v="179"/>
    <n v="49425"/>
  </r>
  <r>
    <x v="16"/>
    <x v="4"/>
    <x v="180"/>
    <x v="180"/>
    <n v="52224"/>
  </r>
  <r>
    <x v="16"/>
    <x v="5"/>
    <x v="181"/>
    <x v="181"/>
    <n v="55689"/>
  </r>
  <r>
    <x v="16"/>
    <x v="6"/>
    <x v="182"/>
    <x v="182"/>
    <n v="58158"/>
  </r>
  <r>
    <x v="16"/>
    <x v="7"/>
    <x v="183"/>
    <x v="183"/>
    <n v="61040"/>
  </r>
  <r>
    <x v="16"/>
    <x v="8"/>
    <x v="184"/>
    <x v="184"/>
    <n v="63050"/>
  </r>
  <r>
    <x v="16"/>
    <x v="9"/>
    <x v="185"/>
    <x v="185"/>
    <n v="61832"/>
  </r>
  <r>
    <x v="16"/>
    <x v="10"/>
    <x v="186"/>
    <x v="186"/>
    <n v="62201"/>
  </r>
  <r>
    <x v="17"/>
    <x v="0"/>
    <x v="187"/>
    <x v="187"/>
    <n v="20138"/>
  </r>
  <r>
    <x v="17"/>
    <x v="1"/>
    <x v="188"/>
    <x v="188"/>
    <n v="21828"/>
  </r>
  <r>
    <x v="17"/>
    <x v="2"/>
    <x v="189"/>
    <x v="189"/>
    <n v="22291"/>
  </r>
  <r>
    <x v="17"/>
    <x v="3"/>
    <x v="190"/>
    <x v="190"/>
    <n v="23008"/>
  </r>
  <r>
    <x v="17"/>
    <x v="4"/>
    <x v="191"/>
    <x v="191"/>
    <n v="24189"/>
  </r>
  <r>
    <x v="17"/>
    <x v="5"/>
    <x v="192"/>
    <x v="192"/>
    <n v="26275"/>
  </r>
  <r>
    <x v="17"/>
    <x v="6"/>
    <x v="193"/>
    <x v="193"/>
    <n v="26265"/>
  </r>
  <r>
    <x v="17"/>
    <x v="7"/>
    <x v="194"/>
    <x v="194"/>
    <n v="26030"/>
  </r>
  <r>
    <x v="17"/>
    <x v="8"/>
    <x v="195"/>
    <x v="195"/>
    <n v="27493"/>
  </r>
  <r>
    <x v="17"/>
    <x v="9"/>
    <x v="196"/>
    <x v="196"/>
    <n v="36840"/>
  </r>
  <r>
    <x v="17"/>
    <x v="10"/>
    <x v="197"/>
    <x v="197"/>
    <n v="3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BD06E5-749A-8045-A9CA-A8FE9E9922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5" firstHeaderRow="0" firstDataRow="1" firstDataCol="1" rowPageCount="1" colPageCount="1"/>
  <pivotFields count="5">
    <pivotField axis="axisPage" showAll="0">
      <items count="13">
        <item x="0"/>
        <item x="1"/>
        <item x="2"/>
        <item x="3"/>
        <item x="4"/>
        <item x="5"/>
        <item x="6"/>
        <item x="7"/>
        <item x="8"/>
        <item x="9"/>
        <item x="10"/>
        <item x="11"/>
        <item t="default"/>
      </items>
    </pivotField>
    <pivotField axis="axisRow" showAll="0">
      <items count="12">
        <item x="0"/>
        <item x="1"/>
        <item x="2"/>
        <item x="3"/>
        <item x="4"/>
        <item x="5"/>
        <item x="6"/>
        <item x="7"/>
        <item x="8"/>
        <item x="9"/>
        <item x="10"/>
        <item t="default"/>
      </items>
    </pivotField>
    <pivotField dataField="1" showAll="0"/>
    <pivotField dataField="1" showAll="0"/>
    <pivotField showAll="0"/>
  </pivotFields>
  <rowFields count="1">
    <field x="1"/>
  </rowFields>
  <rowItems count="12">
    <i>
      <x/>
    </i>
    <i>
      <x v="1"/>
    </i>
    <i>
      <x v="2"/>
    </i>
    <i>
      <x v="3"/>
    </i>
    <i>
      <x v="4"/>
    </i>
    <i>
      <x v="5"/>
    </i>
    <i>
      <x v="6"/>
    </i>
    <i>
      <x v="7"/>
    </i>
    <i>
      <x v="8"/>
    </i>
    <i>
      <x v="9"/>
    </i>
    <i>
      <x v="10"/>
    </i>
    <i t="grand">
      <x/>
    </i>
  </rowItems>
  <colFields count="1">
    <field x="-2"/>
  </colFields>
  <colItems count="2">
    <i>
      <x/>
    </i>
    <i i="1">
      <x v="1"/>
    </i>
  </colItems>
  <pageFields count="1">
    <pageField fld="0" item="9" hier="-1"/>
  </pageFields>
  <dataFields count="2">
    <dataField name="Sum of Meshkuj/Male" fld="2" baseField="0" baseItem="0"/>
    <dataField name="Sum of Femra/Female"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Population by Dinstrict "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429716-D4AA-3F49-BF66-BD5AD81580E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C23" firstHeaderRow="0" firstDataRow="1" firstDataCol="1" rowPageCount="1" colPageCount="1"/>
  <pivotFields count="5">
    <pivotField axis="axisRow" showAll="0">
      <items count="19">
        <item x="0"/>
        <item x="1"/>
        <item x="2"/>
        <item x="3"/>
        <item x="4"/>
        <item x="5"/>
        <item x="6"/>
        <item x="7"/>
        <item x="8"/>
        <item x="9"/>
        <item x="10"/>
        <item x="11"/>
        <item x="12"/>
        <item x="13"/>
        <item x="14"/>
        <item x="15"/>
        <item x="16"/>
        <item x="17"/>
        <item t="default"/>
      </items>
    </pivotField>
    <pivotField axis="axisPage" multipleItemSelectionAllowed="1" showAll="0">
      <items count="12">
        <item h="1" x="0"/>
        <item h="1" x="1"/>
        <item h="1" x="2"/>
        <item h="1" x="3"/>
        <item h="1" x="4"/>
        <item h="1" x="5"/>
        <item h="1" x="6"/>
        <item h="1" x="7"/>
        <item x="8"/>
        <item h="1" x="9"/>
        <item h="1" x="10"/>
        <item t="default"/>
      </items>
    </pivotField>
    <pivotField dataField="1" numFmtId="3" showAll="0">
      <items count="199">
        <item x="187"/>
        <item x="188"/>
        <item x="189"/>
        <item x="190"/>
        <item x="191"/>
        <item x="192"/>
        <item x="193"/>
        <item x="194"/>
        <item x="195"/>
        <item x="196"/>
        <item x="197"/>
        <item x="176"/>
        <item x="177"/>
        <item x="178"/>
        <item x="179"/>
        <item x="180"/>
        <item x="181"/>
        <item x="182"/>
        <item x="183"/>
        <item x="185"/>
        <item x="184"/>
        <item x="186"/>
        <item x="165"/>
        <item x="166"/>
        <item x="172"/>
        <item x="173"/>
        <item x="167"/>
        <item x="174"/>
        <item x="171"/>
        <item x="168"/>
        <item x="170"/>
        <item x="169"/>
        <item x="175"/>
        <item x="156"/>
        <item x="157"/>
        <item x="155"/>
        <item x="158"/>
        <item x="154"/>
        <item x="159"/>
        <item x="160"/>
        <item x="161"/>
        <item x="10"/>
        <item x="162"/>
        <item x="9"/>
        <item x="143"/>
        <item x="21"/>
        <item x="163"/>
        <item x="145"/>
        <item x="144"/>
        <item x="164"/>
        <item x="146"/>
        <item x="20"/>
        <item x="54"/>
        <item x="109"/>
        <item x="147"/>
        <item x="65"/>
        <item x="108"/>
        <item x="8"/>
        <item x="97"/>
        <item x="53"/>
        <item x="32"/>
        <item x="148"/>
        <item x="98"/>
        <item x="43"/>
        <item x="31"/>
        <item x="64"/>
        <item x="42"/>
        <item x="7"/>
        <item x="149"/>
        <item x="120"/>
        <item x="6"/>
        <item x="150"/>
        <item x="76"/>
        <item x="132"/>
        <item x="5"/>
        <item x="119"/>
        <item x="19"/>
        <item x="151"/>
        <item x="87"/>
        <item x="75"/>
        <item x="133"/>
        <item x="86"/>
        <item x="107"/>
        <item x="94"/>
        <item x="93"/>
        <item x="92"/>
        <item x="95"/>
        <item x="106"/>
        <item x="30"/>
        <item x="4"/>
        <item x="18"/>
        <item x="91"/>
        <item x="96"/>
        <item x="90"/>
        <item x="12"/>
        <item x="29"/>
        <item x="134"/>
        <item x="105"/>
        <item x="17"/>
        <item x="79"/>
        <item x="28"/>
        <item x="80"/>
        <item x="104"/>
        <item x="16"/>
        <item x="15"/>
        <item x="131"/>
        <item x="3"/>
        <item x="14"/>
        <item x="152"/>
        <item x="135"/>
        <item x="103"/>
        <item x="118"/>
        <item x="13"/>
        <item x="130"/>
        <item x="27"/>
        <item x="81"/>
        <item x="77"/>
        <item x="2"/>
        <item x="1"/>
        <item x="153"/>
        <item x="102"/>
        <item x="41"/>
        <item x="136"/>
        <item x="0"/>
        <item x="117"/>
        <item x="88"/>
        <item x="89"/>
        <item x="82"/>
        <item x="78"/>
        <item x="26"/>
        <item x="101"/>
        <item x="116"/>
        <item x="137"/>
        <item x="83"/>
        <item x="115"/>
        <item x="138"/>
        <item x="129"/>
        <item x="84"/>
        <item x="114"/>
        <item x="40"/>
        <item x="142"/>
        <item x="25"/>
        <item x="139"/>
        <item x="85"/>
        <item x="128"/>
        <item x="99"/>
        <item x="140"/>
        <item x="141"/>
        <item x="100"/>
        <item x="113"/>
        <item x="39"/>
        <item x="127"/>
        <item x="121"/>
        <item x="112"/>
        <item x="23"/>
        <item x="52"/>
        <item x="24"/>
        <item x="126"/>
        <item x="123"/>
        <item x="38"/>
        <item x="124"/>
        <item x="68"/>
        <item x="122"/>
        <item x="111"/>
        <item x="51"/>
        <item x="125"/>
        <item x="66"/>
        <item x="69"/>
        <item x="70"/>
        <item x="110"/>
        <item x="37"/>
        <item x="22"/>
        <item x="74"/>
        <item x="71"/>
        <item x="73"/>
        <item x="36"/>
        <item x="63"/>
        <item x="72"/>
        <item x="50"/>
        <item x="67"/>
        <item x="35"/>
        <item x="49"/>
        <item x="62"/>
        <item x="45"/>
        <item x="55"/>
        <item x="56"/>
        <item x="61"/>
        <item x="48"/>
        <item x="44"/>
        <item x="34"/>
        <item x="60"/>
        <item x="59"/>
        <item x="58"/>
        <item x="57"/>
        <item x="47"/>
        <item x="33"/>
        <item x="46"/>
        <item x="11"/>
        <item t="default"/>
      </items>
    </pivotField>
    <pivotField dataField="1" numFmtId="3" showAll="0">
      <items count="199">
        <item x="187"/>
        <item x="190"/>
        <item x="189"/>
        <item x="191"/>
        <item x="194"/>
        <item x="193"/>
        <item x="195"/>
        <item x="188"/>
        <item x="192"/>
        <item x="196"/>
        <item x="197"/>
        <item x="176"/>
        <item x="177"/>
        <item x="178"/>
        <item x="179"/>
        <item x="180"/>
        <item x="181"/>
        <item x="182"/>
        <item x="183"/>
        <item x="186"/>
        <item x="185"/>
        <item x="184"/>
        <item x="165"/>
        <item x="166"/>
        <item x="174"/>
        <item x="172"/>
        <item x="173"/>
        <item x="167"/>
        <item x="171"/>
        <item x="170"/>
        <item x="168"/>
        <item x="169"/>
        <item x="175"/>
        <item x="156"/>
        <item x="157"/>
        <item x="155"/>
        <item x="10"/>
        <item x="158"/>
        <item x="9"/>
        <item x="154"/>
        <item x="159"/>
        <item x="21"/>
        <item x="143"/>
        <item x="160"/>
        <item x="20"/>
        <item x="161"/>
        <item x="162"/>
        <item x="144"/>
        <item x="32"/>
        <item x="8"/>
        <item x="163"/>
        <item x="145"/>
        <item x="31"/>
        <item x="43"/>
        <item x="146"/>
        <item x="164"/>
        <item x="7"/>
        <item x="65"/>
        <item x="6"/>
        <item x="147"/>
        <item x="42"/>
        <item x="64"/>
        <item x="54"/>
        <item x="97"/>
        <item x="98"/>
        <item x="76"/>
        <item x="5"/>
        <item x="87"/>
        <item x="12"/>
        <item x="86"/>
        <item x="148"/>
        <item x="53"/>
        <item x="109"/>
        <item x="75"/>
        <item x="132"/>
        <item x="108"/>
        <item x="4"/>
        <item x="19"/>
        <item x="149"/>
        <item x="133"/>
        <item x="29"/>
        <item x="30"/>
        <item x="18"/>
        <item x="13"/>
        <item x="3"/>
        <item x="28"/>
        <item x="96"/>
        <item x="14"/>
        <item x="17"/>
        <item x="15"/>
        <item x="150"/>
        <item x="2"/>
        <item x="94"/>
        <item x="95"/>
        <item x="16"/>
        <item x="27"/>
        <item x="1"/>
        <item x="93"/>
        <item x="79"/>
        <item x="80"/>
        <item x="0"/>
        <item x="120"/>
        <item x="92"/>
        <item x="134"/>
        <item x="81"/>
        <item x="107"/>
        <item x="11"/>
        <item x="41"/>
        <item x="26"/>
        <item x="151"/>
        <item x="106"/>
        <item x="82"/>
        <item x="91"/>
        <item x="90"/>
        <item x="119"/>
        <item x="83"/>
        <item x="84"/>
        <item x="152"/>
        <item x="25"/>
        <item x="85"/>
        <item x="105"/>
        <item x="135"/>
        <item x="68"/>
        <item x="104"/>
        <item x="153"/>
        <item x="40"/>
        <item x="131"/>
        <item x="23"/>
        <item x="69"/>
        <item x="136"/>
        <item x="130"/>
        <item x="24"/>
        <item x="103"/>
        <item x="118"/>
        <item x="39"/>
        <item x="45"/>
        <item x="56"/>
        <item x="70"/>
        <item x="77"/>
        <item x="102"/>
        <item x="137"/>
        <item x="55"/>
        <item x="71"/>
        <item x="117"/>
        <item x="78"/>
        <item x="138"/>
        <item x="101"/>
        <item x="38"/>
        <item x="116"/>
        <item x="115"/>
        <item x="89"/>
        <item x="88"/>
        <item x="142"/>
        <item x="52"/>
        <item x="22"/>
        <item x="44"/>
        <item x="114"/>
        <item x="129"/>
        <item x="121"/>
        <item x="141"/>
        <item x="139"/>
        <item x="72"/>
        <item x="128"/>
        <item x="140"/>
        <item x="113"/>
        <item x="112"/>
        <item x="123"/>
        <item x="99"/>
        <item x="127"/>
        <item x="51"/>
        <item x="100"/>
        <item x="73"/>
        <item x="66"/>
        <item x="37"/>
        <item x="124"/>
        <item x="122"/>
        <item x="126"/>
        <item x="74"/>
        <item x="125"/>
        <item x="111"/>
        <item x="36"/>
        <item x="57"/>
        <item x="67"/>
        <item x="110"/>
        <item x="35"/>
        <item x="50"/>
        <item x="63"/>
        <item x="58"/>
        <item x="34"/>
        <item x="49"/>
        <item x="62"/>
        <item x="59"/>
        <item x="61"/>
        <item x="60"/>
        <item x="48"/>
        <item x="33"/>
        <item x="47"/>
        <item x="46"/>
        <item t="default"/>
      </items>
    </pivotField>
    <pivotField numFmtId="3" showAl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pageFields count="1">
    <pageField fld="1" hier="-1"/>
  </pageFields>
  <dataFields count="2">
    <dataField name="Sum of Meshkuj/Male" fld="2" baseField="0" baseItem="0" numFmtId="3"/>
    <dataField name="Sum of Femer/Female" fld="3" baseField="0" baseItem="0" numFmtId="3"/>
  </dataFields>
  <chartFormats count="35">
    <chartFormat chart="0" format="11" series="1">
      <pivotArea type="data" outline="0" fieldPosition="0">
        <references count="1">
          <reference field="1" count="1" selected="0">
            <x v="0"/>
          </reference>
        </references>
      </pivotArea>
    </chartFormat>
    <chartFormat chart="0" format="12" series="1">
      <pivotArea type="data" outline="0" fieldPosition="0">
        <references count="1">
          <reference field="1" count="1" selected="0">
            <x v="1"/>
          </reference>
        </references>
      </pivotArea>
    </chartFormat>
    <chartFormat chart="0" format="13" series="1">
      <pivotArea type="data" outline="0" fieldPosition="0">
        <references count="1">
          <reference field="1" count="1" selected="0">
            <x v="2"/>
          </reference>
        </references>
      </pivotArea>
    </chartFormat>
    <chartFormat chart="0" format="14" series="1">
      <pivotArea type="data" outline="0" fieldPosition="0">
        <references count="1">
          <reference field="1" count="1" selected="0">
            <x v="3"/>
          </reference>
        </references>
      </pivotArea>
    </chartFormat>
    <chartFormat chart="0" format="15" series="1">
      <pivotArea type="data" outline="0" fieldPosition="0">
        <references count="1">
          <reference field="1" count="1" selected="0">
            <x v="4"/>
          </reference>
        </references>
      </pivotArea>
    </chartFormat>
    <chartFormat chart="0" format="16" series="1">
      <pivotArea type="data" outline="0" fieldPosition="0">
        <references count="1">
          <reference field="1" count="1" selected="0">
            <x v="5"/>
          </reference>
        </references>
      </pivotArea>
    </chartFormat>
    <chartFormat chart="0" format="17" series="1">
      <pivotArea type="data" outline="0" fieldPosition="0">
        <references count="1">
          <reference field="1" count="1" selected="0">
            <x v="6"/>
          </reference>
        </references>
      </pivotArea>
    </chartFormat>
    <chartFormat chart="0" format="18" series="1">
      <pivotArea type="data" outline="0" fieldPosition="0">
        <references count="1">
          <reference field="1" count="1" selected="0">
            <x v="7"/>
          </reference>
        </references>
      </pivotArea>
    </chartFormat>
    <chartFormat chart="0" format="19" series="1">
      <pivotArea type="data" outline="0" fieldPosition="0">
        <references count="1">
          <reference field="1" count="1" selected="0">
            <x v="8"/>
          </reference>
        </references>
      </pivotArea>
    </chartFormat>
    <chartFormat chart="0" format="20" series="1">
      <pivotArea type="data" outline="0" fieldPosition="0">
        <references count="1">
          <reference field="1" count="1" selected="0">
            <x v="9"/>
          </reference>
        </references>
      </pivotArea>
    </chartFormat>
    <chartFormat chart="0" format="21" series="1">
      <pivotArea type="data" outline="0" fieldPosition="0">
        <references count="1">
          <reference field="1" count="1" selected="0">
            <x v="10"/>
          </reference>
        </references>
      </pivotArea>
    </chartFormat>
    <chartFormat chart="0" format="22" series="1">
      <pivotArea type="data" outline="0" fieldPosition="0">
        <references count="2">
          <reference field="4294967294" count="1" selected="0">
            <x v="1"/>
          </reference>
          <reference field="1" count="1" selected="0">
            <x v="5"/>
          </reference>
        </references>
      </pivotArea>
    </chartFormat>
    <chartFormat chart="0" format="23" series="1">
      <pivotArea type="data" outline="0" fieldPosition="0">
        <references count="2">
          <reference field="4294967294" count="1" selected="0">
            <x v="0"/>
          </reference>
          <reference field="1" count="1" selected="0">
            <x v="6"/>
          </reference>
        </references>
      </pivotArea>
    </chartFormat>
    <chartFormat chart="0" format="24" series="1">
      <pivotArea type="data" outline="0" fieldPosition="0">
        <references count="2">
          <reference field="4294967294" count="1" selected="0">
            <x v="1"/>
          </reference>
          <reference field="1" count="1" selected="0">
            <x v="6"/>
          </reference>
        </references>
      </pivotArea>
    </chartFormat>
    <chartFormat chart="0" format="25" series="1">
      <pivotArea type="data" outline="0" fieldPosition="0">
        <references count="2">
          <reference field="4294967294" count="1" selected="0">
            <x v="0"/>
          </reference>
          <reference field="1" count="1" selected="0">
            <x v="7"/>
          </reference>
        </references>
      </pivotArea>
    </chartFormat>
    <chartFormat chart="0" format="26" series="1">
      <pivotArea type="data" outline="0" fieldPosition="0">
        <references count="2">
          <reference field="4294967294" count="1" selected="0">
            <x v="1"/>
          </reference>
          <reference field="1" count="1" selected="0">
            <x v="7"/>
          </reference>
        </references>
      </pivotArea>
    </chartFormat>
    <chartFormat chart="0" format="27" series="1">
      <pivotArea type="data" outline="0" fieldPosition="0">
        <references count="2">
          <reference field="4294967294" count="1" selected="0">
            <x v="0"/>
          </reference>
          <reference field="1" count="1" selected="0">
            <x v="8"/>
          </reference>
        </references>
      </pivotArea>
    </chartFormat>
    <chartFormat chart="0" format="28" series="1">
      <pivotArea type="data" outline="0" fieldPosition="0">
        <references count="2">
          <reference field="4294967294" count="1" selected="0">
            <x v="1"/>
          </reference>
          <reference field="1" count="1" selected="0">
            <x v="8"/>
          </reference>
        </references>
      </pivotArea>
    </chartFormat>
    <chartFormat chart="0" format="29" series="1">
      <pivotArea type="data" outline="0" fieldPosition="0">
        <references count="2">
          <reference field="4294967294" count="1" selected="0">
            <x v="0"/>
          </reference>
          <reference field="1" count="1" selected="0">
            <x v="9"/>
          </reference>
        </references>
      </pivotArea>
    </chartFormat>
    <chartFormat chart="0" format="30" series="1">
      <pivotArea type="data" outline="0" fieldPosition="0">
        <references count="2">
          <reference field="4294967294" count="1" selected="0">
            <x v="1"/>
          </reference>
          <reference field="1" count="1" selected="0">
            <x v="9"/>
          </reference>
        </references>
      </pivotArea>
    </chartFormat>
    <chartFormat chart="0" format="31" series="1">
      <pivotArea type="data" outline="0" fieldPosition="0">
        <references count="2">
          <reference field="4294967294" count="1" selected="0">
            <x v="0"/>
          </reference>
          <reference field="1" count="1" selected="0">
            <x v="10"/>
          </reference>
        </references>
      </pivotArea>
    </chartFormat>
    <chartFormat chart="0" format="32" series="1">
      <pivotArea type="data" outline="0" fieldPosition="0">
        <references count="2">
          <reference field="4294967294" count="1" selected="0">
            <x v="1"/>
          </reference>
          <reference field="1" count="1" selected="0">
            <x v="10"/>
          </reference>
        </references>
      </pivotArea>
    </chartFormat>
    <chartFormat chart="0" format="33" series="1">
      <pivotArea type="data" grandCol="1" outline="0" fieldPosition="0">
        <references count="1">
          <reference field="4294967294" count="1" selected="0">
            <x v="0"/>
          </reference>
        </references>
      </pivotArea>
    </chartFormat>
    <chartFormat chart="0" format="34" series="1">
      <pivotArea type="data" grandCol="1" outline="0" fieldPosition="0">
        <references count="1">
          <reference field="4294967294" count="1" selected="0">
            <x v="1"/>
          </reference>
        </references>
      </pivotArea>
    </chartFormat>
    <chartFormat chart="0" format="35" series="1">
      <pivotArea type="data" outline="0" fieldPosition="0">
        <references count="2">
          <reference field="4294967294" count="1" selected="0">
            <x v="0"/>
          </reference>
          <reference field="1" count="1" selected="0">
            <x v="1"/>
          </reference>
        </references>
      </pivotArea>
    </chartFormat>
    <chartFormat chart="0" format="36" series="1">
      <pivotArea type="data" outline="0" fieldPosition="0">
        <references count="2">
          <reference field="4294967294" count="1" selected="0">
            <x v="1"/>
          </reference>
          <reference field="1" count="1" selected="0">
            <x v="1"/>
          </reference>
        </references>
      </pivotArea>
    </chartFormat>
    <chartFormat chart="0" format="37" series="1">
      <pivotArea type="data" outline="0" fieldPosition="0">
        <references count="2">
          <reference field="4294967294" count="1" selected="0">
            <x v="0"/>
          </reference>
          <reference field="1" count="1" selected="0">
            <x v="2"/>
          </reference>
        </references>
      </pivotArea>
    </chartFormat>
    <chartFormat chart="0" format="38" series="1">
      <pivotArea type="data" outline="0" fieldPosition="0">
        <references count="2">
          <reference field="4294967294" count="1" selected="0">
            <x v="1"/>
          </reference>
          <reference field="1" count="1" selected="0">
            <x v="2"/>
          </reference>
        </references>
      </pivotArea>
    </chartFormat>
    <chartFormat chart="0" format="39" series="1">
      <pivotArea type="data" outline="0" fieldPosition="0">
        <references count="2">
          <reference field="4294967294" count="1" selected="0">
            <x v="0"/>
          </reference>
          <reference field="1" count="1" selected="0">
            <x v="3"/>
          </reference>
        </references>
      </pivotArea>
    </chartFormat>
    <chartFormat chart="0" format="40" series="1">
      <pivotArea type="data" outline="0" fieldPosition="0">
        <references count="2">
          <reference field="4294967294" count="1" selected="0">
            <x v="1"/>
          </reference>
          <reference field="1" count="1" selected="0">
            <x v="3"/>
          </reference>
        </references>
      </pivotArea>
    </chartFormat>
    <chartFormat chart="0" format="41" series="1">
      <pivotArea type="data" outline="0" fieldPosition="0">
        <references count="2">
          <reference field="4294967294" count="1" selected="0">
            <x v="0"/>
          </reference>
          <reference field="1" count="1" selected="0">
            <x v="4"/>
          </reference>
        </references>
      </pivotArea>
    </chartFormat>
    <chartFormat chart="0" format="42" series="1">
      <pivotArea type="data" outline="0" fieldPosition="0">
        <references count="2">
          <reference field="4294967294" count="1" selected="0">
            <x v="1"/>
          </reference>
          <reference field="1" count="1" selected="0">
            <x v="4"/>
          </reference>
        </references>
      </pivotArea>
    </chartFormat>
    <chartFormat chart="0" format="43" series="1">
      <pivotArea type="data" outline="0" fieldPosition="0">
        <references count="2">
          <reference field="4294967294" count="1" selected="0">
            <x v="0"/>
          </reference>
          <reference field="1" count="1" selected="0">
            <x v="5"/>
          </reference>
        </references>
      </pivotArea>
    </chartFormat>
    <chartFormat chart="0" format="44" series="1">
      <pivotArea type="data" outline="0" fieldPosition="0">
        <references count="1">
          <reference field="4294967294" count="1" selected="0">
            <x v="0"/>
          </reference>
        </references>
      </pivotArea>
    </chartFormat>
    <chartFormat chart="0" format="4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arku_Prefectures" xr10:uid="{A8C60516-539B-D543-AE31-E3E5417C958E}" sourceName="Qarku/Prefectures">
  <pivotTables>
    <pivotTable tabId="6" name="PivotTable5"/>
  </pivotTables>
  <data>
    <tabular pivotCacheId="289682404">
      <items count="12">
        <i x="0"/>
        <i x="1"/>
        <i x="2"/>
        <i x="3"/>
        <i x="4"/>
        <i x="5"/>
        <i x="6"/>
        <i x="7"/>
        <i x="8"/>
        <i x="9" s="1"/>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arku/Prefectures" xr10:uid="{FF803F13-AECB-A14E-8DF7-D40461AB9D4A}" cache="Slicer_Qarku_Prefectures" caption="Qarku/Prefectures"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77081-DCBA-8D49-8394-FDF0B7DDB329}">
  <dimension ref="A1:C15"/>
  <sheetViews>
    <sheetView tabSelected="1" workbookViewId="0">
      <selection activeCell="I28" sqref="I28"/>
    </sheetView>
  </sheetViews>
  <sheetFormatPr baseColWidth="10" defaultRowHeight="16" x14ac:dyDescent="0.2"/>
  <cols>
    <col min="1" max="1" width="16" bestFit="1" customWidth="1"/>
    <col min="2" max="2" width="19" bestFit="1" customWidth="1"/>
    <col min="3" max="3" width="19.5" bestFit="1" customWidth="1"/>
    <col min="4" max="4" width="18.5" bestFit="1" customWidth="1"/>
  </cols>
  <sheetData>
    <row r="1" spans="1:3" x14ac:dyDescent="0.2">
      <c r="A1" s="8" t="s">
        <v>1</v>
      </c>
      <c r="B1" t="s">
        <v>11</v>
      </c>
    </row>
    <row r="3" spans="1:3" x14ac:dyDescent="0.2">
      <c r="A3" s="8" t="s">
        <v>17</v>
      </c>
      <c r="B3" t="s">
        <v>19</v>
      </c>
      <c r="C3" t="s">
        <v>20</v>
      </c>
    </row>
    <row r="4" spans="1:3" x14ac:dyDescent="0.2">
      <c r="A4" s="9">
        <v>2015</v>
      </c>
      <c r="B4">
        <v>109202</v>
      </c>
      <c r="C4">
        <v>109321</v>
      </c>
    </row>
    <row r="5" spans="1:3" x14ac:dyDescent="0.2">
      <c r="A5" s="9">
        <v>2016</v>
      </c>
      <c r="B5">
        <v>105025</v>
      </c>
      <c r="C5">
        <v>105143</v>
      </c>
    </row>
    <row r="6" spans="1:3" x14ac:dyDescent="0.2">
      <c r="A6" s="9">
        <v>2017</v>
      </c>
      <c r="B6">
        <v>103370</v>
      </c>
      <c r="C6">
        <v>104554</v>
      </c>
    </row>
    <row r="7" spans="1:3" x14ac:dyDescent="0.2">
      <c r="A7" s="9">
        <v>2018</v>
      </c>
      <c r="B7">
        <v>100857</v>
      </c>
      <c r="C7">
        <v>104137</v>
      </c>
    </row>
    <row r="8" spans="1:3" x14ac:dyDescent="0.2">
      <c r="A8" s="9">
        <v>2019</v>
      </c>
      <c r="B8">
        <v>99264</v>
      </c>
      <c r="C8">
        <v>103631</v>
      </c>
    </row>
    <row r="9" spans="1:3" x14ac:dyDescent="0.2">
      <c r="A9" s="9">
        <v>2020</v>
      </c>
      <c r="B9">
        <v>97774</v>
      </c>
      <c r="C9">
        <v>102233</v>
      </c>
    </row>
    <row r="10" spans="1:3" x14ac:dyDescent="0.2">
      <c r="A10" s="9">
        <v>2021</v>
      </c>
      <c r="B10">
        <v>96097</v>
      </c>
      <c r="C10">
        <v>101080</v>
      </c>
    </row>
    <row r="11" spans="1:3" x14ac:dyDescent="0.2">
      <c r="A11" s="9">
        <v>2022</v>
      </c>
      <c r="B11">
        <v>93707</v>
      </c>
      <c r="C11">
        <v>99302</v>
      </c>
    </row>
    <row r="12" spans="1:3" x14ac:dyDescent="0.2">
      <c r="A12" s="9">
        <v>2023</v>
      </c>
      <c r="B12">
        <v>91436</v>
      </c>
      <c r="C12">
        <v>97728</v>
      </c>
    </row>
    <row r="13" spans="1:3" x14ac:dyDescent="0.2">
      <c r="A13" s="9">
        <v>2024</v>
      </c>
      <c r="B13">
        <v>75709</v>
      </c>
      <c r="C13">
        <v>77544</v>
      </c>
    </row>
    <row r="14" spans="1:3" x14ac:dyDescent="0.2">
      <c r="A14" s="9">
        <v>2025</v>
      </c>
      <c r="B14">
        <v>73735</v>
      </c>
      <c r="C14">
        <v>75761</v>
      </c>
    </row>
    <row r="15" spans="1:3" x14ac:dyDescent="0.2">
      <c r="A15" s="9" t="s">
        <v>18</v>
      </c>
      <c r="B15">
        <v>1046176</v>
      </c>
      <c r="C15">
        <v>1080434</v>
      </c>
    </row>
  </sheetData>
  <pageMargins left="0.7" right="0.7" top="0.75" bottom="0.75" header="0.3" footer="0.3"/>
  <pageSetup orientation="portrait" horizontalDpi="0" verticalDpi="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2571E-20BD-B143-AA22-21DFCC26A3B4}">
  <dimension ref="A1:I217"/>
  <sheetViews>
    <sheetView zoomScale="119" workbookViewId="0">
      <selection activeCell="F9" sqref="F9"/>
    </sheetView>
  </sheetViews>
  <sheetFormatPr baseColWidth="10" defaultRowHeight="16" x14ac:dyDescent="0.2"/>
  <cols>
    <col min="1" max="1" width="10.83203125" style="22"/>
    <col min="2" max="2" width="10.83203125" style="14"/>
  </cols>
  <sheetData>
    <row r="1" spans="1:9" ht="28" x14ac:dyDescent="0.2">
      <c r="A1" s="10" t="s">
        <v>1</v>
      </c>
      <c r="B1" s="1" t="s">
        <v>14</v>
      </c>
      <c r="C1" s="1" t="s">
        <v>15</v>
      </c>
      <c r="D1" s="1" t="s">
        <v>16</v>
      </c>
      <c r="E1" s="1" t="s">
        <v>0</v>
      </c>
      <c r="G1" s="15" t="s">
        <v>44</v>
      </c>
      <c r="H1" s="15"/>
      <c r="I1" s="15"/>
    </row>
    <row r="2" spans="1:9" x14ac:dyDescent="0.2">
      <c r="A2" s="21" t="s">
        <v>2</v>
      </c>
      <c r="B2" s="13">
        <v>2015</v>
      </c>
      <c r="C2" s="3">
        <v>72502</v>
      </c>
      <c r="D2" s="3">
        <v>70177</v>
      </c>
      <c r="E2" s="4">
        <f t="shared" ref="E2:E8" si="0">C2+D2</f>
        <v>142679</v>
      </c>
    </row>
    <row r="3" spans="1:9" x14ac:dyDescent="0.2">
      <c r="A3" s="21" t="s">
        <v>2</v>
      </c>
      <c r="B3" s="13">
        <v>2016</v>
      </c>
      <c r="C3" s="3">
        <v>69461</v>
      </c>
      <c r="D3" s="3">
        <v>65980</v>
      </c>
      <c r="E3" s="4">
        <f t="shared" si="0"/>
        <v>135441</v>
      </c>
    </row>
    <row r="4" spans="1:9" x14ac:dyDescent="0.2">
      <c r="A4" s="21" t="s">
        <v>2</v>
      </c>
      <c r="B4" s="13">
        <v>2017</v>
      </c>
      <c r="C4" s="3">
        <v>67397</v>
      </c>
      <c r="D4" s="3">
        <v>64545</v>
      </c>
      <c r="E4" s="4">
        <f t="shared" si="0"/>
        <v>131942</v>
      </c>
    </row>
    <row r="5" spans="1:9" x14ac:dyDescent="0.2">
      <c r="A5" s="21" t="s">
        <v>2</v>
      </c>
      <c r="B5" s="13">
        <v>2018</v>
      </c>
      <c r="C5" s="3">
        <v>64271</v>
      </c>
      <c r="D5" s="3">
        <v>63160</v>
      </c>
      <c r="E5" s="4">
        <f t="shared" si="0"/>
        <v>127431</v>
      </c>
    </row>
    <row r="6" spans="1:9" x14ac:dyDescent="0.2">
      <c r="A6" s="21" t="s">
        <v>2</v>
      </c>
      <c r="B6" s="13">
        <v>2019</v>
      </c>
      <c r="C6" s="3">
        <v>62718</v>
      </c>
      <c r="D6" s="3">
        <v>62439</v>
      </c>
      <c r="E6" s="4">
        <f t="shared" si="0"/>
        <v>125157</v>
      </c>
    </row>
    <row r="7" spans="1:9" x14ac:dyDescent="0.2">
      <c r="A7" s="21" t="s">
        <v>2</v>
      </c>
      <c r="B7" s="13">
        <v>2020</v>
      </c>
      <c r="C7" s="3">
        <v>61147</v>
      </c>
      <c r="D7" s="3">
        <v>60856</v>
      </c>
      <c r="E7" s="4">
        <f t="shared" si="0"/>
        <v>122003</v>
      </c>
    </row>
    <row r="8" spans="1:9" x14ac:dyDescent="0.2">
      <c r="A8" s="21" t="s">
        <v>2</v>
      </c>
      <c r="B8" s="13">
        <v>2021</v>
      </c>
      <c r="C8" s="3">
        <v>59715</v>
      </c>
      <c r="D8" s="3">
        <v>59735</v>
      </c>
      <c r="E8" s="4">
        <f t="shared" si="0"/>
        <v>119450</v>
      </c>
    </row>
    <row r="9" spans="1:9" x14ac:dyDescent="0.2">
      <c r="A9" s="21" t="s">
        <v>2</v>
      </c>
      <c r="B9" s="13">
        <v>2022</v>
      </c>
      <c r="C9" s="3">
        <v>57192</v>
      </c>
      <c r="D9" s="3">
        <v>57858</v>
      </c>
      <c r="E9" s="7">
        <v>115050</v>
      </c>
    </row>
    <row r="10" spans="1:9" x14ac:dyDescent="0.2">
      <c r="A10" s="21" t="s">
        <v>2</v>
      </c>
      <c r="B10" s="13">
        <v>2023</v>
      </c>
      <c r="C10" s="3">
        <v>55061</v>
      </c>
      <c r="D10" s="3">
        <v>56370</v>
      </c>
      <c r="E10" s="7">
        <v>111431</v>
      </c>
    </row>
    <row r="11" spans="1:9" x14ac:dyDescent="0.2">
      <c r="A11" s="21" t="s">
        <v>2</v>
      </c>
      <c r="B11" s="13">
        <v>2024</v>
      </c>
      <c r="C11" s="11">
        <v>69614</v>
      </c>
      <c r="D11" s="11">
        <v>70915</v>
      </c>
      <c r="E11" s="12">
        <v>140529</v>
      </c>
    </row>
    <row r="12" spans="1:9" x14ac:dyDescent="0.2">
      <c r="A12" s="21" t="s">
        <v>2</v>
      </c>
      <c r="B12" s="13">
        <v>2025</v>
      </c>
      <c r="C12" s="11">
        <v>68700</v>
      </c>
      <c r="D12" s="11">
        <v>70226</v>
      </c>
      <c r="E12" s="2">
        <v>138926</v>
      </c>
    </row>
    <row r="13" spans="1:9" x14ac:dyDescent="0.2">
      <c r="A13" s="21" t="s">
        <v>3</v>
      </c>
      <c r="B13" s="13">
        <v>2015</v>
      </c>
      <c r="C13" s="3">
        <v>70418</v>
      </c>
      <c r="D13" s="3">
        <v>66058</v>
      </c>
      <c r="E13" s="4">
        <f t="shared" ref="E13:E19" si="1">C13+D13</f>
        <v>136476</v>
      </c>
    </row>
    <row r="14" spans="1:9" x14ac:dyDescent="0.2">
      <c r="A14" s="21" t="s">
        <v>3</v>
      </c>
      <c r="B14" s="13">
        <v>2016</v>
      </c>
      <c r="C14" s="3">
        <v>67307</v>
      </c>
      <c r="D14" s="3">
        <v>61749</v>
      </c>
      <c r="E14" s="4">
        <f t="shared" si="1"/>
        <v>129056</v>
      </c>
    </row>
    <row r="15" spans="1:9" x14ac:dyDescent="0.2">
      <c r="A15" s="21" t="s">
        <v>3</v>
      </c>
      <c r="B15" s="13">
        <v>2017</v>
      </c>
      <c r="C15" s="3">
        <v>65742</v>
      </c>
      <c r="D15" s="3">
        <v>59837</v>
      </c>
      <c r="E15" s="4">
        <f t="shared" si="1"/>
        <v>125579</v>
      </c>
    </row>
    <row r="16" spans="1:9" x14ac:dyDescent="0.2">
      <c r="A16" s="21" t="s">
        <v>3</v>
      </c>
      <c r="B16" s="13">
        <v>2018</v>
      </c>
      <c r="C16" s="3">
        <v>63083</v>
      </c>
      <c r="D16" s="3">
        <v>57895</v>
      </c>
      <c r="E16" s="4">
        <f t="shared" si="1"/>
        <v>120978</v>
      </c>
    </row>
    <row r="17" spans="1:5" x14ac:dyDescent="0.2">
      <c r="A17" s="21" t="s">
        <v>3</v>
      </c>
      <c r="B17" s="13">
        <v>2019</v>
      </c>
      <c r="C17" s="3">
        <v>61946</v>
      </c>
      <c r="D17" s="3">
        <v>57002</v>
      </c>
      <c r="E17" s="4">
        <f t="shared" si="1"/>
        <v>118948</v>
      </c>
    </row>
    <row r="18" spans="1:5" x14ac:dyDescent="0.2">
      <c r="A18" s="21" t="s">
        <v>3</v>
      </c>
      <c r="B18" s="13">
        <v>2020</v>
      </c>
      <c r="C18" s="3">
        <v>60455</v>
      </c>
      <c r="D18" s="3">
        <v>55402</v>
      </c>
      <c r="E18" s="4">
        <f t="shared" si="1"/>
        <v>115857</v>
      </c>
    </row>
    <row r="19" spans="1:5" x14ac:dyDescent="0.2">
      <c r="A19" s="21" t="s">
        <v>3</v>
      </c>
      <c r="B19" s="13">
        <v>2021</v>
      </c>
      <c r="C19" s="3">
        <v>59372</v>
      </c>
      <c r="D19" s="3">
        <v>54311</v>
      </c>
      <c r="E19" s="4">
        <f t="shared" si="1"/>
        <v>113683</v>
      </c>
    </row>
    <row r="20" spans="1:5" x14ac:dyDescent="0.2">
      <c r="A20" s="21" t="s">
        <v>3</v>
      </c>
      <c r="B20" s="13">
        <v>2022</v>
      </c>
      <c r="C20" s="3">
        <v>57145</v>
      </c>
      <c r="D20" s="3">
        <v>52440</v>
      </c>
      <c r="E20" s="7">
        <v>109585</v>
      </c>
    </row>
    <row r="21" spans="1:5" x14ac:dyDescent="0.2">
      <c r="A21" s="21" t="s">
        <v>3</v>
      </c>
      <c r="B21" s="13">
        <v>2023</v>
      </c>
      <c r="C21" s="3">
        <v>55350</v>
      </c>
      <c r="D21" s="3">
        <v>51030</v>
      </c>
      <c r="E21" s="7">
        <v>106380</v>
      </c>
    </row>
    <row r="22" spans="1:5" x14ac:dyDescent="0.2">
      <c r="A22" s="21" t="s">
        <v>3</v>
      </c>
      <c r="B22" s="13">
        <v>2024</v>
      </c>
      <c r="C22" s="5">
        <v>53657</v>
      </c>
      <c r="D22" s="5">
        <v>52850</v>
      </c>
      <c r="E22" s="6">
        <v>106507</v>
      </c>
    </row>
    <row r="23" spans="1:5" x14ac:dyDescent="0.2">
      <c r="A23" s="21" t="s">
        <v>3</v>
      </c>
      <c r="B23" s="13">
        <v>2025</v>
      </c>
      <c r="C23" s="5">
        <v>52657</v>
      </c>
      <c r="D23" s="5">
        <v>51967</v>
      </c>
      <c r="E23" s="6">
        <v>104624</v>
      </c>
    </row>
    <row r="24" spans="1:5" x14ac:dyDescent="0.2">
      <c r="A24" s="21" t="s">
        <v>4</v>
      </c>
      <c r="B24" s="13">
        <v>2015</v>
      </c>
      <c r="C24" s="3">
        <v>140206</v>
      </c>
      <c r="D24" s="3">
        <v>135985</v>
      </c>
      <c r="E24" s="4">
        <f t="shared" ref="E24:E30" si="2">C24+D24</f>
        <v>276191</v>
      </c>
    </row>
    <row r="25" spans="1:5" x14ac:dyDescent="0.2">
      <c r="A25" s="21" t="s">
        <v>4</v>
      </c>
      <c r="B25" s="13">
        <v>2016</v>
      </c>
      <c r="C25" s="3">
        <v>143616</v>
      </c>
      <c r="D25" s="3">
        <v>136589</v>
      </c>
      <c r="E25" s="4">
        <f t="shared" si="2"/>
        <v>280205</v>
      </c>
    </row>
    <row r="26" spans="1:5" x14ac:dyDescent="0.2">
      <c r="A26" s="21" t="s">
        <v>4</v>
      </c>
      <c r="B26" s="13">
        <v>2017</v>
      </c>
      <c r="C26" s="3">
        <v>145390</v>
      </c>
      <c r="D26" s="3">
        <v>139433</v>
      </c>
      <c r="E26" s="4">
        <f t="shared" si="2"/>
        <v>284823</v>
      </c>
    </row>
    <row r="27" spans="1:5" x14ac:dyDescent="0.2">
      <c r="A27" s="21" t="s">
        <v>4</v>
      </c>
      <c r="B27" s="13">
        <v>2018</v>
      </c>
      <c r="C27" s="3">
        <v>146979</v>
      </c>
      <c r="D27" s="3">
        <v>142649</v>
      </c>
      <c r="E27" s="4">
        <f t="shared" si="2"/>
        <v>289628</v>
      </c>
    </row>
    <row r="28" spans="1:5" x14ac:dyDescent="0.2">
      <c r="A28" s="21" t="s">
        <v>4</v>
      </c>
      <c r="B28" s="13">
        <v>2019</v>
      </c>
      <c r="C28" s="3">
        <v>146760</v>
      </c>
      <c r="D28" s="3">
        <v>143366</v>
      </c>
      <c r="E28" s="4">
        <f t="shared" si="2"/>
        <v>290126</v>
      </c>
    </row>
    <row r="29" spans="1:5" x14ac:dyDescent="0.2">
      <c r="A29" s="21" t="s">
        <v>4</v>
      </c>
      <c r="B29" s="13">
        <v>2020</v>
      </c>
      <c r="C29" s="3">
        <v>147136</v>
      </c>
      <c r="D29" s="3">
        <v>143561</v>
      </c>
      <c r="E29" s="4">
        <f t="shared" si="2"/>
        <v>290697</v>
      </c>
    </row>
    <row r="30" spans="1:5" x14ac:dyDescent="0.2">
      <c r="A30" s="21" t="s">
        <v>4</v>
      </c>
      <c r="B30" s="13">
        <v>2021</v>
      </c>
      <c r="C30" s="3">
        <v>147648</v>
      </c>
      <c r="D30" s="3">
        <v>144381</v>
      </c>
      <c r="E30" s="4">
        <f t="shared" si="2"/>
        <v>292029</v>
      </c>
    </row>
    <row r="31" spans="1:5" x14ac:dyDescent="0.2">
      <c r="A31" s="21" t="s">
        <v>4</v>
      </c>
      <c r="B31" s="13">
        <v>2022</v>
      </c>
      <c r="C31" s="3">
        <v>147096</v>
      </c>
      <c r="D31" s="3">
        <v>144229</v>
      </c>
      <c r="E31" s="7">
        <v>291325</v>
      </c>
    </row>
    <row r="32" spans="1:5" x14ac:dyDescent="0.2">
      <c r="A32" s="21" t="s">
        <v>4</v>
      </c>
      <c r="B32" s="13">
        <v>2023</v>
      </c>
      <c r="C32" s="3">
        <v>146040</v>
      </c>
      <c r="D32" s="3">
        <v>143757</v>
      </c>
      <c r="E32" s="7">
        <v>289797</v>
      </c>
    </row>
    <row r="33" spans="1:5" x14ac:dyDescent="0.2">
      <c r="A33" s="21" t="s">
        <v>4</v>
      </c>
      <c r="B33" s="13">
        <v>2024</v>
      </c>
      <c r="C33" s="5">
        <v>113155</v>
      </c>
      <c r="D33" s="5">
        <v>112505</v>
      </c>
      <c r="E33" s="6">
        <v>225660</v>
      </c>
    </row>
    <row r="34" spans="1:5" x14ac:dyDescent="0.2">
      <c r="A34" s="21" t="s">
        <v>4</v>
      </c>
      <c r="B34" s="13">
        <v>2025</v>
      </c>
      <c r="C34" s="5">
        <v>111812</v>
      </c>
      <c r="D34" s="5">
        <v>111187</v>
      </c>
      <c r="E34" s="6">
        <v>222999</v>
      </c>
    </row>
    <row r="35" spans="1:5" ht="18" customHeight="1" x14ac:dyDescent="0.2">
      <c r="A35" s="21" t="s">
        <v>5</v>
      </c>
      <c r="B35" s="13">
        <v>2015</v>
      </c>
      <c r="C35" s="3">
        <v>153387</v>
      </c>
      <c r="D35" s="3">
        <v>148010</v>
      </c>
      <c r="E35" s="4">
        <f t="shared" ref="E35:E41" si="3">C35+D35</f>
        <v>301397</v>
      </c>
    </row>
    <row r="36" spans="1:5" ht="18" customHeight="1" x14ac:dyDescent="0.2">
      <c r="A36" s="21" t="s">
        <v>5</v>
      </c>
      <c r="B36" s="13">
        <v>2016</v>
      </c>
      <c r="C36" s="3">
        <v>146834</v>
      </c>
      <c r="D36" s="3">
        <v>140772</v>
      </c>
      <c r="E36" s="4">
        <f t="shared" si="3"/>
        <v>287606</v>
      </c>
    </row>
    <row r="37" spans="1:5" x14ac:dyDescent="0.2">
      <c r="A37" s="21" t="s">
        <v>5</v>
      </c>
      <c r="B37" s="13">
        <v>2017</v>
      </c>
      <c r="C37" s="3">
        <v>144258</v>
      </c>
      <c r="D37" s="3">
        <v>139564</v>
      </c>
      <c r="E37" s="4">
        <f t="shared" si="3"/>
        <v>283822</v>
      </c>
    </row>
    <row r="38" spans="1:5" x14ac:dyDescent="0.2">
      <c r="A38" s="21" t="s">
        <v>5</v>
      </c>
      <c r="B38" s="13">
        <v>2018</v>
      </c>
      <c r="C38" s="3">
        <v>140096</v>
      </c>
      <c r="D38" s="3">
        <v>138451</v>
      </c>
      <c r="E38" s="4">
        <f t="shared" si="3"/>
        <v>278547</v>
      </c>
    </row>
    <row r="39" spans="1:5" x14ac:dyDescent="0.2">
      <c r="A39" s="21" t="s">
        <v>5</v>
      </c>
      <c r="B39" s="13">
        <v>2019</v>
      </c>
      <c r="C39" s="3">
        <v>137508</v>
      </c>
      <c r="D39" s="3">
        <v>137474</v>
      </c>
      <c r="E39" s="4">
        <f t="shared" si="3"/>
        <v>274982</v>
      </c>
    </row>
    <row r="40" spans="1:5" x14ac:dyDescent="0.2">
      <c r="A40" s="21" t="s">
        <v>5</v>
      </c>
      <c r="B40" s="13">
        <v>2020</v>
      </c>
      <c r="C40" s="3">
        <v>134707</v>
      </c>
      <c r="D40" s="3">
        <v>135367</v>
      </c>
      <c r="E40" s="4">
        <f t="shared" si="3"/>
        <v>270074</v>
      </c>
    </row>
    <row r="41" spans="1:5" x14ac:dyDescent="0.2">
      <c r="A41" s="21" t="s">
        <v>5</v>
      </c>
      <c r="B41" s="13">
        <v>2021</v>
      </c>
      <c r="C41" s="3">
        <v>132501</v>
      </c>
      <c r="D41" s="3">
        <v>133744</v>
      </c>
      <c r="E41" s="4">
        <f t="shared" si="3"/>
        <v>266245</v>
      </c>
    </row>
    <row r="42" spans="1:5" x14ac:dyDescent="0.2">
      <c r="A42" s="21" t="s">
        <v>5</v>
      </c>
      <c r="B42" s="13">
        <v>2022</v>
      </c>
      <c r="C42" s="3">
        <v>128208</v>
      </c>
      <c r="D42" s="3">
        <v>130904</v>
      </c>
      <c r="E42" s="7">
        <v>259112</v>
      </c>
    </row>
    <row r="43" spans="1:5" x14ac:dyDescent="0.2">
      <c r="A43" s="21" t="s">
        <v>5</v>
      </c>
      <c r="B43" s="13">
        <v>2023</v>
      </c>
      <c r="C43" s="3">
        <v>124249</v>
      </c>
      <c r="D43" s="3">
        <v>128470</v>
      </c>
      <c r="E43" s="7">
        <v>252719</v>
      </c>
    </row>
    <row r="44" spans="1:5" x14ac:dyDescent="0.2">
      <c r="A44" s="21" t="s">
        <v>5</v>
      </c>
      <c r="B44" s="13">
        <v>2024</v>
      </c>
      <c r="C44" s="5">
        <v>115746</v>
      </c>
      <c r="D44" s="5">
        <v>115400</v>
      </c>
      <c r="E44" s="6">
        <v>231146</v>
      </c>
    </row>
    <row r="45" spans="1:5" x14ac:dyDescent="0.2">
      <c r="A45" s="21" t="s">
        <v>5</v>
      </c>
      <c r="B45" s="13">
        <v>2025</v>
      </c>
      <c r="C45" s="5">
        <v>113462</v>
      </c>
      <c r="D45" s="5">
        <v>113501</v>
      </c>
      <c r="E45" s="6">
        <v>226963</v>
      </c>
    </row>
    <row r="46" spans="1:5" x14ac:dyDescent="0.2">
      <c r="A46" s="21" t="s">
        <v>6</v>
      </c>
      <c r="B46" s="13">
        <v>2015</v>
      </c>
      <c r="C46" s="3">
        <v>160661</v>
      </c>
      <c r="D46" s="3">
        <v>154351</v>
      </c>
      <c r="E46" s="4">
        <f t="shared" ref="E46:E52" si="4">C46+D46</f>
        <v>315012</v>
      </c>
    </row>
    <row r="47" spans="1:5" x14ac:dyDescent="0.2">
      <c r="A47" s="21" t="s">
        <v>6</v>
      </c>
      <c r="B47" s="13">
        <v>2016</v>
      </c>
      <c r="C47" s="3">
        <v>157633</v>
      </c>
      <c r="D47" s="3">
        <v>147475</v>
      </c>
      <c r="E47" s="4">
        <f t="shared" si="4"/>
        <v>305108</v>
      </c>
    </row>
    <row r="48" spans="1:5" x14ac:dyDescent="0.2">
      <c r="A48" s="21" t="s">
        <v>6</v>
      </c>
      <c r="B48" s="13">
        <v>2017</v>
      </c>
      <c r="C48" s="3">
        <v>155524</v>
      </c>
      <c r="D48" s="3">
        <v>146983</v>
      </c>
      <c r="E48" s="4">
        <f t="shared" si="4"/>
        <v>302507</v>
      </c>
    </row>
    <row r="49" spans="1:5" x14ac:dyDescent="0.2">
      <c r="A49" s="21" t="s">
        <v>6</v>
      </c>
      <c r="B49" s="13">
        <v>2018</v>
      </c>
      <c r="C49" s="3">
        <v>151735</v>
      </c>
      <c r="D49" s="3">
        <v>146409</v>
      </c>
      <c r="E49" s="4">
        <f t="shared" si="4"/>
        <v>298144</v>
      </c>
    </row>
    <row r="50" spans="1:5" x14ac:dyDescent="0.2">
      <c r="A50" s="21" t="s">
        <v>6</v>
      </c>
      <c r="B50" s="13">
        <v>2019</v>
      </c>
      <c r="C50" s="3">
        <v>149374</v>
      </c>
      <c r="D50" s="3">
        <v>145373</v>
      </c>
      <c r="E50" s="4">
        <f t="shared" si="4"/>
        <v>294747</v>
      </c>
    </row>
    <row r="51" spans="1:5" x14ac:dyDescent="0.2">
      <c r="A51" s="21" t="s">
        <v>6</v>
      </c>
      <c r="B51" s="13">
        <v>2020</v>
      </c>
      <c r="C51" s="3">
        <v>146633</v>
      </c>
      <c r="D51" s="3">
        <v>143256</v>
      </c>
      <c r="E51" s="4">
        <f t="shared" si="4"/>
        <v>289889</v>
      </c>
    </row>
    <row r="52" spans="1:5" x14ac:dyDescent="0.2">
      <c r="A52" s="21" t="s">
        <v>6</v>
      </c>
      <c r="B52" s="13">
        <v>2021</v>
      </c>
      <c r="C52" s="3">
        <v>144281</v>
      </c>
      <c r="D52" s="3">
        <v>141721</v>
      </c>
      <c r="E52" s="4">
        <f t="shared" si="4"/>
        <v>286002</v>
      </c>
    </row>
    <row r="53" spans="1:5" x14ac:dyDescent="0.2">
      <c r="A53" s="21" t="s">
        <v>6</v>
      </c>
      <c r="B53" s="13">
        <v>2022</v>
      </c>
      <c r="C53" s="3">
        <v>139603</v>
      </c>
      <c r="D53" s="3">
        <v>138810</v>
      </c>
      <c r="E53" s="7">
        <v>278413</v>
      </c>
    </row>
    <row r="54" spans="1:5" x14ac:dyDescent="0.2">
      <c r="A54" s="21" t="s">
        <v>6</v>
      </c>
      <c r="B54" s="13">
        <v>2023</v>
      </c>
      <c r="C54" s="3">
        <v>135568</v>
      </c>
      <c r="D54" s="3">
        <v>136104</v>
      </c>
      <c r="E54" s="7">
        <v>271672</v>
      </c>
    </row>
    <row r="55" spans="1:5" x14ac:dyDescent="0.2">
      <c r="A55" s="21" t="s">
        <v>6</v>
      </c>
      <c r="B55" s="13">
        <v>2024</v>
      </c>
      <c r="C55" s="5">
        <v>119662</v>
      </c>
      <c r="D55" s="5">
        <v>118771</v>
      </c>
      <c r="E55" s="6">
        <v>238433</v>
      </c>
    </row>
    <row r="56" spans="1:5" x14ac:dyDescent="0.2">
      <c r="A56" s="21" t="s">
        <v>6</v>
      </c>
      <c r="B56" s="13">
        <v>2025</v>
      </c>
      <c r="C56" s="5">
        <v>116879</v>
      </c>
      <c r="D56" s="5">
        <v>116336</v>
      </c>
      <c r="E56" s="6">
        <v>233215</v>
      </c>
    </row>
    <row r="57" spans="1:5" ht="18" customHeight="1" x14ac:dyDescent="0.2">
      <c r="A57" s="21" t="s">
        <v>7</v>
      </c>
      <c r="B57" s="13">
        <v>2015</v>
      </c>
      <c r="C57" s="3">
        <v>36755</v>
      </c>
      <c r="D57" s="3">
        <v>35446</v>
      </c>
      <c r="E57" s="4">
        <f t="shared" ref="E57:E63" si="5">C57+D57</f>
        <v>72201</v>
      </c>
    </row>
    <row r="58" spans="1:5" x14ac:dyDescent="0.2">
      <c r="A58" s="21" t="s">
        <v>7</v>
      </c>
      <c r="B58" s="13">
        <v>2016</v>
      </c>
      <c r="C58" s="3">
        <v>34617</v>
      </c>
      <c r="D58" s="3">
        <v>33403</v>
      </c>
      <c r="E58" s="4">
        <f t="shared" si="5"/>
        <v>68020</v>
      </c>
    </row>
    <row r="59" spans="1:5" x14ac:dyDescent="0.2">
      <c r="A59" s="21" t="s">
        <v>7</v>
      </c>
      <c r="B59" s="13">
        <v>2017</v>
      </c>
      <c r="C59" s="3">
        <v>33191</v>
      </c>
      <c r="D59" s="3">
        <v>32748</v>
      </c>
      <c r="E59" s="4">
        <f t="shared" si="5"/>
        <v>65939</v>
      </c>
    </row>
    <row r="60" spans="1:5" x14ac:dyDescent="0.2">
      <c r="A60" s="21" t="s">
        <v>7</v>
      </c>
      <c r="B60" s="13">
        <v>2018</v>
      </c>
      <c r="C60" s="3">
        <v>31109</v>
      </c>
      <c r="D60" s="3">
        <v>31843</v>
      </c>
      <c r="E60" s="4">
        <f t="shared" si="5"/>
        <v>62952</v>
      </c>
    </row>
    <row r="61" spans="1:5" x14ac:dyDescent="0.2">
      <c r="A61" s="21" t="s">
        <v>7</v>
      </c>
      <c r="B61" s="13">
        <v>2019</v>
      </c>
      <c r="C61" s="3">
        <v>30058</v>
      </c>
      <c r="D61" s="3">
        <v>31365</v>
      </c>
      <c r="E61" s="4">
        <f t="shared" si="5"/>
        <v>61423</v>
      </c>
    </row>
    <row r="62" spans="1:5" x14ac:dyDescent="0.2">
      <c r="A62" s="21" t="s">
        <v>7</v>
      </c>
      <c r="B62" s="13">
        <v>2020</v>
      </c>
      <c r="C62" s="3">
        <v>28928</v>
      </c>
      <c r="D62" s="3">
        <v>30453</v>
      </c>
      <c r="E62" s="4">
        <f t="shared" si="5"/>
        <v>59381</v>
      </c>
    </row>
    <row r="63" spans="1:5" x14ac:dyDescent="0.2">
      <c r="A63" s="21" t="s">
        <v>7</v>
      </c>
      <c r="B63" s="13">
        <v>2021</v>
      </c>
      <c r="C63" s="3">
        <v>28112</v>
      </c>
      <c r="D63" s="3">
        <v>29919</v>
      </c>
      <c r="E63" s="4">
        <f t="shared" si="5"/>
        <v>58031</v>
      </c>
    </row>
    <row r="64" spans="1:5" x14ac:dyDescent="0.2">
      <c r="A64" s="21" t="s">
        <v>7</v>
      </c>
      <c r="B64" s="13">
        <v>2022</v>
      </c>
      <c r="C64" s="3">
        <v>26567</v>
      </c>
      <c r="D64" s="3">
        <v>28711</v>
      </c>
      <c r="E64" s="7">
        <v>55278</v>
      </c>
    </row>
    <row r="65" spans="1:5" x14ac:dyDescent="0.2">
      <c r="A65" s="21" t="s">
        <v>7</v>
      </c>
      <c r="B65" s="13">
        <v>2023</v>
      </c>
      <c r="C65" s="3">
        <v>25407</v>
      </c>
      <c r="D65" s="3">
        <v>27907</v>
      </c>
      <c r="E65" s="7">
        <v>53314</v>
      </c>
    </row>
    <row r="66" spans="1:5" x14ac:dyDescent="0.2">
      <c r="A66" s="21" t="s">
        <v>7</v>
      </c>
      <c r="B66" s="13">
        <v>2024</v>
      </c>
      <c r="C66" s="5">
        <v>29989</v>
      </c>
      <c r="D66" s="5">
        <v>29540</v>
      </c>
      <c r="E66" s="6">
        <v>59529</v>
      </c>
    </row>
    <row r="67" spans="1:5" x14ac:dyDescent="0.2">
      <c r="A67" s="21" t="s">
        <v>7</v>
      </c>
      <c r="B67" s="13">
        <v>2025</v>
      </c>
      <c r="C67" s="5">
        <v>29457</v>
      </c>
      <c r="D67" s="5">
        <v>28999</v>
      </c>
      <c r="E67" s="6">
        <v>58456</v>
      </c>
    </row>
    <row r="68" spans="1:5" x14ac:dyDescent="0.2">
      <c r="A68" s="21" t="s">
        <v>8</v>
      </c>
      <c r="B68" s="13">
        <v>2015</v>
      </c>
      <c r="C68" s="3">
        <v>114277</v>
      </c>
      <c r="D68" s="3">
        <v>109888</v>
      </c>
      <c r="E68" s="4">
        <f t="shared" ref="E68:E74" si="6">C68+D68</f>
        <v>224165</v>
      </c>
    </row>
    <row r="69" spans="1:5" x14ac:dyDescent="0.2">
      <c r="A69" s="21" t="s">
        <v>8</v>
      </c>
      <c r="B69" s="13">
        <v>2016</v>
      </c>
      <c r="C69" s="3">
        <v>110480</v>
      </c>
      <c r="D69" s="3">
        <v>106942</v>
      </c>
      <c r="E69" s="4">
        <f t="shared" si="6"/>
        <v>217422</v>
      </c>
    </row>
    <row r="70" spans="1:5" x14ac:dyDescent="0.2">
      <c r="A70" s="21" t="s">
        <v>8</v>
      </c>
      <c r="B70" s="13">
        <v>2017</v>
      </c>
      <c r="C70" s="3">
        <v>108337</v>
      </c>
      <c r="D70" s="3">
        <v>105984</v>
      </c>
      <c r="E70" s="4">
        <f t="shared" si="6"/>
        <v>214321</v>
      </c>
    </row>
    <row r="71" spans="1:5" x14ac:dyDescent="0.2">
      <c r="A71" s="21" t="s">
        <v>8</v>
      </c>
      <c r="B71" s="13">
        <v>2018</v>
      </c>
      <c r="C71" s="3">
        <v>105080</v>
      </c>
      <c r="D71" s="3">
        <v>105098</v>
      </c>
      <c r="E71" s="4">
        <f t="shared" si="6"/>
        <v>210178</v>
      </c>
    </row>
    <row r="72" spans="1:5" ht="17" customHeight="1" x14ac:dyDescent="0.2">
      <c r="A72" s="21" t="s">
        <v>8</v>
      </c>
      <c r="B72" s="13">
        <v>2019</v>
      </c>
      <c r="C72" s="3">
        <v>103389</v>
      </c>
      <c r="D72" s="3">
        <v>104500</v>
      </c>
      <c r="E72" s="4">
        <f t="shared" si="6"/>
        <v>207889</v>
      </c>
    </row>
    <row r="73" spans="1:5" x14ac:dyDescent="0.2">
      <c r="A73" s="21" t="s">
        <v>8</v>
      </c>
      <c r="B73" s="13">
        <v>2020</v>
      </c>
      <c r="C73" s="3">
        <v>101774</v>
      </c>
      <c r="D73" s="3">
        <v>103057</v>
      </c>
      <c r="E73" s="4">
        <f t="shared" si="6"/>
        <v>204831</v>
      </c>
    </row>
    <row r="74" spans="1:5" x14ac:dyDescent="0.2">
      <c r="A74" s="21" t="s">
        <v>8</v>
      </c>
      <c r="B74" s="13">
        <v>2021</v>
      </c>
      <c r="C74" s="3">
        <v>100228</v>
      </c>
      <c r="D74" s="3">
        <v>101965</v>
      </c>
      <c r="E74" s="4">
        <f t="shared" si="6"/>
        <v>202193</v>
      </c>
    </row>
    <row r="75" spans="1:5" x14ac:dyDescent="0.2">
      <c r="A75" s="21" t="s">
        <v>8</v>
      </c>
      <c r="B75" s="13">
        <v>2022</v>
      </c>
      <c r="C75" s="3">
        <v>97235</v>
      </c>
      <c r="D75" s="3">
        <v>100068</v>
      </c>
      <c r="E75" s="7">
        <v>197303</v>
      </c>
    </row>
    <row r="76" spans="1:5" x14ac:dyDescent="0.2">
      <c r="A76" s="21" t="s">
        <v>8</v>
      </c>
      <c r="B76" s="13">
        <v>2023</v>
      </c>
      <c r="C76" s="3">
        <v>94488</v>
      </c>
      <c r="D76" s="3">
        <v>98437</v>
      </c>
      <c r="E76" s="7">
        <v>192925</v>
      </c>
    </row>
    <row r="77" spans="1:5" x14ac:dyDescent="0.2">
      <c r="A77" s="21" t="s">
        <v>8</v>
      </c>
      <c r="B77" s="13">
        <v>2024</v>
      </c>
      <c r="C77" s="5">
        <v>86535</v>
      </c>
      <c r="D77" s="5">
        <v>85160</v>
      </c>
      <c r="E77" s="6">
        <v>171695</v>
      </c>
    </row>
    <row r="78" spans="1:5" x14ac:dyDescent="0.2">
      <c r="A78" s="21" t="s">
        <v>8</v>
      </c>
      <c r="B78" s="13">
        <v>2025</v>
      </c>
      <c r="C78" s="5">
        <v>84724</v>
      </c>
      <c r="D78" s="5">
        <v>83340</v>
      </c>
      <c r="E78" s="6">
        <v>168064</v>
      </c>
    </row>
    <row r="79" spans="1:5" x14ac:dyDescent="0.2">
      <c r="A79" s="21" t="s">
        <v>9</v>
      </c>
      <c r="B79" s="13">
        <v>2015</v>
      </c>
      <c r="C79" s="3">
        <v>43520</v>
      </c>
      <c r="D79" s="3">
        <v>41941</v>
      </c>
      <c r="E79" s="4">
        <f t="shared" ref="E79:E85" si="7">C79+D79</f>
        <v>85461</v>
      </c>
    </row>
    <row r="80" spans="1:5" x14ac:dyDescent="0.2">
      <c r="A80" s="21" t="s">
        <v>9</v>
      </c>
      <c r="B80" s="13">
        <v>2016</v>
      </c>
      <c r="C80" s="3">
        <v>41675</v>
      </c>
      <c r="D80" s="3">
        <v>39619</v>
      </c>
      <c r="E80" s="4">
        <f t="shared" si="7"/>
        <v>81294</v>
      </c>
    </row>
    <row r="81" spans="1:5" x14ac:dyDescent="0.2">
      <c r="A81" s="21" t="s">
        <v>9</v>
      </c>
      <c r="B81" s="13">
        <v>2017</v>
      </c>
      <c r="C81" s="3">
        <v>40925</v>
      </c>
      <c r="D81" s="3">
        <v>38634</v>
      </c>
      <c r="E81" s="4">
        <f t="shared" si="7"/>
        <v>79559</v>
      </c>
    </row>
    <row r="82" spans="1:5" x14ac:dyDescent="0.2">
      <c r="A82" s="21" t="s">
        <v>9</v>
      </c>
      <c r="B82" s="13">
        <v>2018</v>
      </c>
      <c r="C82" s="3">
        <v>39677</v>
      </c>
      <c r="D82" s="3">
        <v>37717</v>
      </c>
      <c r="E82" s="4">
        <f t="shared" si="7"/>
        <v>77394</v>
      </c>
    </row>
    <row r="83" spans="1:5" x14ac:dyDescent="0.2">
      <c r="A83" s="21" t="s">
        <v>9</v>
      </c>
      <c r="B83" s="13">
        <v>2019</v>
      </c>
      <c r="C83" s="3">
        <v>39305</v>
      </c>
      <c r="D83" s="3">
        <v>37289</v>
      </c>
      <c r="E83" s="4">
        <f t="shared" si="7"/>
        <v>76594</v>
      </c>
    </row>
    <row r="84" spans="1:5" x14ac:dyDescent="0.2">
      <c r="A84" s="21" t="s">
        <v>9</v>
      </c>
      <c r="B84" s="13">
        <v>2020</v>
      </c>
      <c r="C84" s="3">
        <v>38748</v>
      </c>
      <c r="D84" s="3">
        <v>36680</v>
      </c>
      <c r="E84" s="4">
        <f t="shared" si="7"/>
        <v>75428</v>
      </c>
    </row>
    <row r="85" spans="1:5" x14ac:dyDescent="0.2">
      <c r="A85" s="21" t="s">
        <v>9</v>
      </c>
      <c r="B85" s="13">
        <v>2021</v>
      </c>
      <c r="C85" s="3">
        <v>38213</v>
      </c>
      <c r="D85" s="3">
        <v>36175</v>
      </c>
      <c r="E85" s="4">
        <f t="shared" si="7"/>
        <v>74388</v>
      </c>
    </row>
    <row r="86" spans="1:5" x14ac:dyDescent="0.2">
      <c r="A86" s="21" t="s">
        <v>9</v>
      </c>
      <c r="B86" s="13">
        <v>2022</v>
      </c>
      <c r="C86" s="3">
        <v>37361</v>
      </c>
      <c r="D86" s="3">
        <v>35407</v>
      </c>
      <c r="E86" s="7">
        <v>72768</v>
      </c>
    </row>
    <row r="87" spans="1:5" x14ac:dyDescent="0.2">
      <c r="A87" s="21" t="s">
        <v>9</v>
      </c>
      <c r="B87" s="13">
        <v>2023</v>
      </c>
      <c r="C87" s="3">
        <v>36715</v>
      </c>
      <c r="D87" s="3">
        <v>34783</v>
      </c>
      <c r="E87" s="7">
        <v>71498</v>
      </c>
    </row>
    <row r="88" spans="1:5" x14ac:dyDescent="0.2">
      <c r="A88" s="21" t="s">
        <v>9</v>
      </c>
      <c r="B88" s="13">
        <v>2024</v>
      </c>
      <c r="C88" s="5">
        <v>30900</v>
      </c>
      <c r="D88" s="5">
        <v>30710</v>
      </c>
      <c r="E88" s="6">
        <v>61610</v>
      </c>
    </row>
    <row r="89" spans="1:5" x14ac:dyDescent="0.2">
      <c r="A89" s="21" t="s">
        <v>9</v>
      </c>
      <c r="B89" s="13">
        <v>2025</v>
      </c>
      <c r="C89" s="5">
        <v>30219</v>
      </c>
      <c r="D89" s="5">
        <v>29988</v>
      </c>
      <c r="E89" s="6">
        <v>60207</v>
      </c>
    </row>
    <row r="90" spans="1:5" x14ac:dyDescent="0.2">
      <c r="A90" s="21" t="s">
        <v>10</v>
      </c>
      <c r="B90" s="13">
        <v>2015</v>
      </c>
      <c r="C90" s="3">
        <v>69280</v>
      </c>
      <c r="D90" s="3">
        <v>67534</v>
      </c>
      <c r="E90" s="4">
        <f t="shared" ref="E90:E96" si="8">C90+D90</f>
        <v>136814</v>
      </c>
    </row>
    <row r="91" spans="1:5" x14ac:dyDescent="0.2">
      <c r="A91" s="21" t="s">
        <v>10</v>
      </c>
      <c r="B91" s="13">
        <v>2016</v>
      </c>
      <c r="C91" s="3">
        <v>66676</v>
      </c>
      <c r="D91" s="3">
        <v>63582</v>
      </c>
      <c r="E91" s="4">
        <f t="shared" si="8"/>
        <v>130258</v>
      </c>
    </row>
    <row r="92" spans="1:5" ht="16" customHeight="1" x14ac:dyDescent="0.2">
      <c r="A92" s="21" t="s">
        <v>10</v>
      </c>
      <c r="B92" s="13">
        <v>2017</v>
      </c>
      <c r="C92" s="3">
        <v>65642</v>
      </c>
      <c r="D92" s="3">
        <v>63377</v>
      </c>
      <c r="E92" s="4">
        <f t="shared" si="8"/>
        <v>129019</v>
      </c>
    </row>
    <row r="93" spans="1:5" ht="16" customHeight="1" x14ac:dyDescent="0.2">
      <c r="A93" s="21" t="s">
        <v>10</v>
      </c>
      <c r="B93" s="13">
        <v>2018</v>
      </c>
      <c r="C93" s="3">
        <v>63600</v>
      </c>
      <c r="D93" s="3">
        <v>63200</v>
      </c>
      <c r="E93" s="4">
        <f t="shared" si="8"/>
        <v>126800</v>
      </c>
    </row>
    <row r="94" spans="1:5" x14ac:dyDescent="0.2">
      <c r="A94" s="21" t="s">
        <v>10</v>
      </c>
      <c r="B94" s="13">
        <v>2019</v>
      </c>
      <c r="C94" s="3">
        <v>62282</v>
      </c>
      <c r="D94" s="3">
        <v>62913</v>
      </c>
      <c r="E94" s="4">
        <f t="shared" si="8"/>
        <v>125195</v>
      </c>
    </row>
    <row r="95" spans="1:5" x14ac:dyDescent="0.2">
      <c r="A95" s="21" t="s">
        <v>10</v>
      </c>
      <c r="B95" s="13">
        <v>2020</v>
      </c>
      <c r="C95" s="3">
        <v>60977</v>
      </c>
      <c r="D95" s="3">
        <v>61723</v>
      </c>
      <c r="E95" s="4">
        <f t="shared" si="8"/>
        <v>122700</v>
      </c>
    </row>
    <row r="96" spans="1:5" x14ac:dyDescent="0.2">
      <c r="A96" s="21" t="s">
        <v>10</v>
      </c>
      <c r="B96" s="13">
        <v>2021</v>
      </c>
      <c r="C96" s="3">
        <v>59826</v>
      </c>
      <c r="D96" s="3">
        <v>60852</v>
      </c>
      <c r="E96" s="4">
        <f t="shared" si="8"/>
        <v>120678</v>
      </c>
    </row>
    <row r="97" spans="1:5" x14ac:dyDescent="0.2">
      <c r="A97" s="21" t="s">
        <v>10</v>
      </c>
      <c r="B97" s="13">
        <v>2022</v>
      </c>
      <c r="C97" s="3">
        <v>57775</v>
      </c>
      <c r="D97" s="3">
        <v>59508</v>
      </c>
      <c r="E97" s="7">
        <v>117283</v>
      </c>
    </row>
    <row r="98" spans="1:5" x14ac:dyDescent="0.2">
      <c r="A98" s="21" t="s">
        <v>10</v>
      </c>
      <c r="B98" s="13">
        <v>2023</v>
      </c>
      <c r="C98" s="3">
        <v>56017</v>
      </c>
      <c r="D98" s="3">
        <v>58164</v>
      </c>
      <c r="E98" s="7">
        <v>114181</v>
      </c>
    </row>
    <row r="99" spans="1:5" x14ac:dyDescent="0.2">
      <c r="A99" s="21" t="s">
        <v>10</v>
      </c>
      <c r="B99" s="13">
        <v>2024</v>
      </c>
      <c r="C99" s="5">
        <v>49232</v>
      </c>
      <c r="D99" s="5">
        <v>49357</v>
      </c>
      <c r="E99" s="6">
        <v>98589</v>
      </c>
    </row>
    <row r="100" spans="1:5" x14ac:dyDescent="0.2">
      <c r="A100" s="21" t="s">
        <v>10</v>
      </c>
      <c r="B100" s="13">
        <v>2025</v>
      </c>
      <c r="C100" s="5">
        <v>48146</v>
      </c>
      <c r="D100" s="5">
        <v>48238</v>
      </c>
      <c r="E100" s="6">
        <v>96384</v>
      </c>
    </row>
    <row r="101" spans="1:5" x14ac:dyDescent="0.2">
      <c r="A101" s="21" t="s">
        <v>11</v>
      </c>
      <c r="B101" s="13">
        <v>2015</v>
      </c>
      <c r="C101" s="3">
        <v>109202</v>
      </c>
      <c r="D101" s="3">
        <v>109321</v>
      </c>
      <c r="E101" s="4">
        <f t="shared" ref="E101:E107" si="9">C101+D101</f>
        <v>218523</v>
      </c>
    </row>
    <row r="102" spans="1:5" x14ac:dyDescent="0.2">
      <c r="A102" s="21" t="s">
        <v>11</v>
      </c>
      <c r="B102" s="13">
        <v>2016</v>
      </c>
      <c r="C102" s="3">
        <v>105025</v>
      </c>
      <c r="D102" s="3">
        <v>105143</v>
      </c>
      <c r="E102" s="4">
        <f t="shared" si="9"/>
        <v>210168</v>
      </c>
    </row>
    <row r="103" spans="1:5" x14ac:dyDescent="0.2">
      <c r="A103" s="21" t="s">
        <v>11</v>
      </c>
      <c r="B103" s="13">
        <v>2017</v>
      </c>
      <c r="C103" s="3">
        <v>103370</v>
      </c>
      <c r="D103" s="3">
        <v>104554</v>
      </c>
      <c r="E103" s="4">
        <f t="shared" si="9"/>
        <v>207924</v>
      </c>
    </row>
    <row r="104" spans="1:5" x14ac:dyDescent="0.2">
      <c r="A104" s="21" t="s">
        <v>11</v>
      </c>
      <c r="B104" s="13">
        <v>2018</v>
      </c>
      <c r="C104" s="3">
        <v>100857</v>
      </c>
      <c r="D104" s="3">
        <v>104137</v>
      </c>
      <c r="E104" s="4">
        <f t="shared" si="9"/>
        <v>204994</v>
      </c>
    </row>
    <row r="105" spans="1:5" x14ac:dyDescent="0.2">
      <c r="A105" s="21" t="s">
        <v>11</v>
      </c>
      <c r="B105" s="13">
        <v>2019</v>
      </c>
      <c r="C105" s="3">
        <v>99264</v>
      </c>
      <c r="D105" s="3">
        <v>103631</v>
      </c>
      <c r="E105" s="4">
        <f t="shared" si="9"/>
        <v>202895</v>
      </c>
    </row>
    <row r="106" spans="1:5" x14ac:dyDescent="0.2">
      <c r="A106" s="21" t="s">
        <v>11</v>
      </c>
      <c r="B106" s="13">
        <v>2020</v>
      </c>
      <c r="C106" s="3">
        <v>97774</v>
      </c>
      <c r="D106" s="3">
        <v>102233</v>
      </c>
      <c r="E106" s="4">
        <f t="shared" si="9"/>
        <v>200007</v>
      </c>
    </row>
    <row r="107" spans="1:5" x14ac:dyDescent="0.2">
      <c r="A107" s="21" t="s">
        <v>11</v>
      </c>
      <c r="B107" s="13">
        <v>2021</v>
      </c>
      <c r="C107" s="3">
        <v>96097</v>
      </c>
      <c r="D107" s="3">
        <v>101080</v>
      </c>
      <c r="E107" s="4">
        <f t="shared" si="9"/>
        <v>197177</v>
      </c>
    </row>
    <row r="108" spans="1:5" x14ac:dyDescent="0.2">
      <c r="A108" s="21" t="s">
        <v>11</v>
      </c>
      <c r="B108" s="13">
        <v>2022</v>
      </c>
      <c r="C108" s="3">
        <v>93707</v>
      </c>
      <c r="D108" s="3">
        <v>99302</v>
      </c>
      <c r="E108" s="7">
        <v>193009</v>
      </c>
    </row>
    <row r="109" spans="1:5" x14ac:dyDescent="0.2">
      <c r="A109" s="21" t="s">
        <v>11</v>
      </c>
      <c r="B109" s="13">
        <v>2023</v>
      </c>
      <c r="C109" s="3">
        <v>91436</v>
      </c>
      <c r="D109" s="3">
        <v>97728</v>
      </c>
      <c r="E109" s="7">
        <v>189164</v>
      </c>
    </row>
    <row r="110" spans="1:5" x14ac:dyDescent="0.2">
      <c r="A110" s="21" t="s">
        <v>11</v>
      </c>
      <c r="B110" s="13">
        <v>2024</v>
      </c>
      <c r="C110" s="5">
        <v>75709</v>
      </c>
      <c r="D110" s="5">
        <v>77544</v>
      </c>
      <c r="E110" s="6">
        <v>153253</v>
      </c>
    </row>
    <row r="111" spans="1:5" x14ac:dyDescent="0.2">
      <c r="A111" s="21" t="s">
        <v>11</v>
      </c>
      <c r="B111" s="13">
        <v>2025</v>
      </c>
      <c r="C111" s="5">
        <v>73735</v>
      </c>
      <c r="D111" s="5">
        <v>75761</v>
      </c>
      <c r="E111" s="6">
        <v>149496</v>
      </c>
    </row>
    <row r="112" spans="1:5" x14ac:dyDescent="0.2">
      <c r="A112" s="21" t="s">
        <v>12</v>
      </c>
      <c r="B112" s="13">
        <v>2015</v>
      </c>
      <c r="C112" s="3">
        <v>399157</v>
      </c>
      <c r="D112" s="3">
        <v>401829</v>
      </c>
      <c r="E112" s="4">
        <f t="shared" ref="E112:E118" si="10">C112+D112</f>
        <v>800986</v>
      </c>
    </row>
    <row r="113" spans="1:5" x14ac:dyDescent="0.2">
      <c r="A113" s="21" t="s">
        <v>12</v>
      </c>
      <c r="B113" s="13">
        <v>2016</v>
      </c>
      <c r="C113" s="3">
        <v>419351</v>
      </c>
      <c r="D113" s="3">
        <v>423630</v>
      </c>
      <c r="E113" s="4">
        <f t="shared" si="10"/>
        <v>842981</v>
      </c>
    </row>
    <row r="114" spans="1:5" x14ac:dyDescent="0.2">
      <c r="A114" s="21" t="s">
        <v>12</v>
      </c>
      <c r="B114" s="13">
        <v>2017</v>
      </c>
      <c r="C114" s="3">
        <v>427915</v>
      </c>
      <c r="D114" s="3">
        <v>434446</v>
      </c>
      <c r="E114" s="4">
        <f t="shared" si="10"/>
        <v>862361</v>
      </c>
    </row>
    <row r="115" spans="1:5" x14ac:dyDescent="0.2">
      <c r="A115" s="21" t="s">
        <v>12</v>
      </c>
      <c r="B115" s="13">
        <v>2018</v>
      </c>
      <c r="C115" s="3">
        <v>436917</v>
      </c>
      <c r="D115" s="3">
        <v>447079</v>
      </c>
      <c r="E115" s="4">
        <f t="shared" si="10"/>
        <v>883996</v>
      </c>
    </row>
    <row r="116" spans="1:5" x14ac:dyDescent="0.2">
      <c r="A116" s="21" t="s">
        <v>12</v>
      </c>
      <c r="B116" s="13">
        <v>2019</v>
      </c>
      <c r="C116" s="3">
        <v>442011</v>
      </c>
      <c r="D116" s="3">
        <v>453149</v>
      </c>
      <c r="E116" s="4">
        <f t="shared" si="10"/>
        <v>895160</v>
      </c>
    </row>
    <row r="117" spans="1:5" x14ac:dyDescent="0.2">
      <c r="A117" s="21" t="s">
        <v>12</v>
      </c>
      <c r="B117" s="13">
        <v>2020</v>
      </c>
      <c r="C117" s="3">
        <v>447525</v>
      </c>
      <c r="D117" s="3">
        <v>458641</v>
      </c>
      <c r="E117" s="4">
        <f t="shared" si="10"/>
        <v>906166</v>
      </c>
    </row>
    <row r="118" spans="1:5" x14ac:dyDescent="0.2">
      <c r="A118" s="21" t="s">
        <v>12</v>
      </c>
      <c r="B118" s="13">
        <v>2021</v>
      </c>
      <c r="C118" s="3">
        <v>449929</v>
      </c>
      <c r="D118" s="3">
        <v>462261</v>
      </c>
      <c r="E118" s="4">
        <f t="shared" si="10"/>
        <v>912190</v>
      </c>
    </row>
    <row r="119" spans="1:5" x14ac:dyDescent="0.2">
      <c r="A119" s="21" t="s">
        <v>12</v>
      </c>
      <c r="B119" s="13">
        <v>2022</v>
      </c>
      <c r="C119" s="3">
        <v>452793</v>
      </c>
      <c r="D119" s="3">
        <v>466718</v>
      </c>
      <c r="E119" s="7">
        <v>919511</v>
      </c>
    </row>
    <row r="120" spans="1:5" x14ac:dyDescent="0.2">
      <c r="A120" s="21" t="s">
        <v>12</v>
      </c>
      <c r="B120" s="13">
        <v>2023</v>
      </c>
      <c r="C120" s="3">
        <v>455207</v>
      </c>
      <c r="D120" s="3">
        <v>470061</v>
      </c>
      <c r="E120" s="7">
        <v>925268</v>
      </c>
    </row>
    <row r="121" spans="1:5" x14ac:dyDescent="0.2">
      <c r="A121" s="21" t="s">
        <v>12</v>
      </c>
      <c r="B121" s="13">
        <v>2024</v>
      </c>
      <c r="C121" s="5">
        <v>366854</v>
      </c>
      <c r="D121" s="5">
        <v>391361</v>
      </c>
      <c r="E121" s="6">
        <v>758215</v>
      </c>
    </row>
    <row r="122" spans="1:5" x14ac:dyDescent="0.2">
      <c r="A122" s="21" t="s">
        <v>12</v>
      </c>
      <c r="B122" s="13">
        <v>2025</v>
      </c>
      <c r="C122" s="5">
        <v>367099</v>
      </c>
      <c r="D122" s="5">
        <v>392882</v>
      </c>
      <c r="E122" s="6">
        <v>759981</v>
      </c>
    </row>
    <row r="123" spans="1:5" x14ac:dyDescent="0.2">
      <c r="A123" s="21" t="s">
        <v>13</v>
      </c>
      <c r="B123" s="13">
        <v>2015</v>
      </c>
      <c r="C123" s="3">
        <v>92618</v>
      </c>
      <c r="D123" s="3">
        <v>90482</v>
      </c>
      <c r="E123" s="4">
        <f t="shared" ref="E123:E129" si="11">C123+D123</f>
        <v>183100</v>
      </c>
    </row>
    <row r="124" spans="1:5" x14ac:dyDescent="0.2">
      <c r="A124" s="21" t="s">
        <v>13</v>
      </c>
      <c r="B124" s="13">
        <v>2016</v>
      </c>
      <c r="C124" s="3">
        <v>95776</v>
      </c>
      <c r="D124" s="3">
        <v>92257</v>
      </c>
      <c r="E124" s="4">
        <f t="shared" si="11"/>
        <v>188033</v>
      </c>
    </row>
    <row r="125" spans="1:5" x14ac:dyDescent="0.2">
      <c r="A125" s="21" t="s">
        <v>13</v>
      </c>
      <c r="B125" s="13">
        <v>2017</v>
      </c>
      <c r="C125" s="3">
        <v>95850</v>
      </c>
      <c r="D125" s="3">
        <v>92945</v>
      </c>
      <c r="E125" s="4">
        <f t="shared" si="11"/>
        <v>188795</v>
      </c>
    </row>
    <row r="126" spans="1:5" x14ac:dyDescent="0.2">
      <c r="A126" s="21" t="s">
        <v>13</v>
      </c>
      <c r="B126" s="13">
        <v>2018</v>
      </c>
      <c r="C126" s="3">
        <v>95205</v>
      </c>
      <c r="D126" s="3">
        <v>94077</v>
      </c>
      <c r="E126" s="4">
        <f t="shared" si="11"/>
        <v>189282</v>
      </c>
    </row>
    <row r="127" spans="1:5" x14ac:dyDescent="0.2">
      <c r="A127" s="21" t="s">
        <v>13</v>
      </c>
      <c r="B127" s="13">
        <v>2019</v>
      </c>
      <c r="C127" s="3">
        <v>94979</v>
      </c>
      <c r="D127" s="3">
        <v>94332</v>
      </c>
      <c r="E127" s="4">
        <f t="shared" si="11"/>
        <v>189311</v>
      </c>
    </row>
    <row r="128" spans="1:5" x14ac:dyDescent="0.2">
      <c r="A128" s="21" t="s">
        <v>13</v>
      </c>
      <c r="B128" s="13">
        <v>2020</v>
      </c>
      <c r="C128" s="3">
        <v>94809</v>
      </c>
      <c r="D128" s="3">
        <v>94113</v>
      </c>
      <c r="E128" s="4">
        <f t="shared" si="11"/>
        <v>188922</v>
      </c>
    </row>
    <row r="129" spans="1:5" ht="16" customHeight="1" x14ac:dyDescent="0.2">
      <c r="A129" s="21" t="s">
        <v>13</v>
      </c>
      <c r="B129" s="13">
        <v>2021</v>
      </c>
      <c r="C129" s="3">
        <v>94060</v>
      </c>
      <c r="D129" s="3">
        <v>93615</v>
      </c>
      <c r="E129" s="4">
        <f t="shared" si="11"/>
        <v>187675</v>
      </c>
    </row>
    <row r="130" spans="1:5" x14ac:dyDescent="0.2">
      <c r="A130" s="21" t="s">
        <v>13</v>
      </c>
      <c r="B130" s="13">
        <v>2022</v>
      </c>
      <c r="C130" s="3">
        <v>92378</v>
      </c>
      <c r="D130" s="3">
        <v>92577</v>
      </c>
      <c r="E130" s="7">
        <v>184955</v>
      </c>
    </row>
    <row r="131" spans="1:5" x14ac:dyDescent="0.2">
      <c r="A131" s="21" t="s">
        <v>13</v>
      </c>
      <c r="B131" s="13">
        <v>2023</v>
      </c>
      <c r="C131" s="3">
        <v>91383</v>
      </c>
      <c r="D131" s="3">
        <v>92053</v>
      </c>
      <c r="E131" s="7">
        <v>183436</v>
      </c>
    </row>
    <row r="132" spans="1:5" x14ac:dyDescent="0.2">
      <c r="A132" s="21" t="s">
        <v>13</v>
      </c>
      <c r="B132" s="13">
        <v>2024</v>
      </c>
      <c r="C132" s="5">
        <v>72731</v>
      </c>
      <c r="D132" s="5">
        <v>73045</v>
      </c>
      <c r="E132" s="6">
        <v>145776</v>
      </c>
    </row>
    <row r="133" spans="1:5" x14ac:dyDescent="0.2">
      <c r="A133" s="21" t="s">
        <v>13</v>
      </c>
      <c r="B133" s="13">
        <v>2025</v>
      </c>
      <c r="C133" s="5">
        <v>71827</v>
      </c>
      <c r="D133" s="5">
        <v>72172</v>
      </c>
      <c r="E133" s="6">
        <v>143999</v>
      </c>
    </row>
    <row r="217" ht="16" customHeight="1" x14ac:dyDescent="0.2"/>
  </sheetData>
  <phoneticPr fontId="5" type="noConversion"/>
  <conditionalFormatting sqref="F36:XFD37">
    <cfRule type="dataBar" priority="2">
      <dataBar>
        <cfvo type="min"/>
        <cfvo type="max"/>
        <color rgb="FF008AEF"/>
      </dataBar>
      <extLst>
        <ext xmlns:x14="http://schemas.microsoft.com/office/spreadsheetml/2009/9/main" uri="{B025F937-C7B1-47D3-B67F-A62EFF666E3E}">
          <x14:id>{AF756BC3-E427-0D40-A80D-04B40C6D308C}</x14:id>
        </ext>
      </extLst>
    </cfRule>
  </conditionalFormatting>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dataBar" id="{AF756BC3-E427-0D40-A80D-04B40C6D308C}">
            <x14:dataBar minLength="0" maxLength="100" border="1" negativeBarBorderColorSameAsPositive="0">
              <x14:cfvo type="autoMin"/>
              <x14:cfvo type="autoMax"/>
              <x14:borderColor rgb="FF008AEF"/>
              <x14:negativeFillColor rgb="FFFF0000"/>
              <x14:negativeBorderColor rgb="FFFF0000"/>
              <x14:axisColor rgb="FF000000"/>
            </x14:dataBar>
          </x14:cfRule>
          <xm:sqref>F36:XFD37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BB650-C117-4B49-B807-528A660E7CA0}">
  <dimension ref="A2:C23"/>
  <sheetViews>
    <sheetView workbookViewId="0">
      <selection activeCell="F33" sqref="F33"/>
    </sheetView>
  </sheetViews>
  <sheetFormatPr baseColWidth="10" defaultRowHeight="16" x14ac:dyDescent="0.2"/>
  <cols>
    <col min="1" max="1" width="13" bestFit="1" customWidth="1"/>
    <col min="2" max="2" width="19" bestFit="1" customWidth="1"/>
    <col min="3" max="3" width="19.5" bestFit="1" customWidth="1"/>
    <col min="4" max="4" width="19" bestFit="1" customWidth="1"/>
    <col min="5" max="5" width="19.5" bestFit="1" customWidth="1"/>
    <col min="6" max="6" width="19" bestFit="1" customWidth="1"/>
    <col min="7" max="7" width="19.5" bestFit="1" customWidth="1"/>
    <col min="8" max="8" width="19" bestFit="1" customWidth="1"/>
    <col min="9" max="9" width="19.5" bestFit="1" customWidth="1"/>
    <col min="10" max="10" width="19" bestFit="1" customWidth="1"/>
    <col min="11" max="11" width="19.5" bestFit="1" customWidth="1"/>
    <col min="12" max="12" width="19" bestFit="1" customWidth="1"/>
    <col min="13" max="13" width="19.5" bestFit="1" customWidth="1"/>
    <col min="14" max="14" width="19" bestFit="1" customWidth="1"/>
    <col min="15" max="15" width="19.5" bestFit="1" customWidth="1"/>
    <col min="16" max="16" width="19" bestFit="1" customWidth="1"/>
    <col min="17" max="17" width="19.5" bestFit="1" customWidth="1"/>
    <col min="18" max="18" width="19" bestFit="1" customWidth="1"/>
    <col min="19" max="19" width="19.5" bestFit="1" customWidth="1"/>
    <col min="20" max="20" width="19" bestFit="1" customWidth="1"/>
    <col min="21" max="21" width="19.5" bestFit="1" customWidth="1"/>
    <col min="22" max="22" width="19" bestFit="1" customWidth="1"/>
    <col min="23" max="23" width="19.5" bestFit="1" customWidth="1"/>
    <col min="24" max="24" width="23.5" bestFit="1" customWidth="1"/>
    <col min="25" max="25" width="24" bestFit="1" customWidth="1"/>
    <col min="26" max="160" width="6.6640625" bestFit="1" customWidth="1"/>
    <col min="161" max="199" width="7.6640625" bestFit="1" customWidth="1"/>
    <col min="200" max="200" width="10.5" bestFit="1" customWidth="1"/>
  </cols>
  <sheetData>
    <row r="2" spans="1:3" x14ac:dyDescent="0.2">
      <c r="A2" s="8" t="s">
        <v>24</v>
      </c>
      <c r="B2" s="9">
        <v>2023</v>
      </c>
    </row>
    <row r="4" spans="1:3" x14ac:dyDescent="0.2">
      <c r="A4" s="8" t="s">
        <v>17</v>
      </c>
      <c r="B4" t="s">
        <v>19</v>
      </c>
      <c r="C4" t="s">
        <v>43</v>
      </c>
    </row>
    <row r="5" spans="1:3" x14ac:dyDescent="0.2">
      <c r="A5" s="9" t="s">
        <v>27</v>
      </c>
      <c r="B5" s="20">
        <v>67886</v>
      </c>
      <c r="C5" s="20">
        <v>64122</v>
      </c>
    </row>
    <row r="6" spans="1:3" x14ac:dyDescent="0.2">
      <c r="A6" s="9" t="s">
        <v>26</v>
      </c>
      <c r="B6" s="20">
        <v>77259</v>
      </c>
      <c r="C6" s="20">
        <v>76099</v>
      </c>
    </row>
    <row r="7" spans="1:3" x14ac:dyDescent="0.2">
      <c r="A7" s="9" t="s">
        <v>28</v>
      </c>
      <c r="B7" s="20">
        <v>79737</v>
      </c>
      <c r="C7" s="20">
        <v>78124</v>
      </c>
    </row>
    <row r="8" spans="1:3" x14ac:dyDescent="0.2">
      <c r="A8" s="9" t="s">
        <v>29</v>
      </c>
      <c r="B8" s="20">
        <v>87761</v>
      </c>
      <c r="C8" s="20">
        <v>84315</v>
      </c>
    </row>
    <row r="9" spans="1:3" x14ac:dyDescent="0.2">
      <c r="A9" s="9" t="s">
        <v>30</v>
      </c>
      <c r="B9" s="20">
        <v>98353</v>
      </c>
      <c r="C9" s="20">
        <v>97887</v>
      </c>
    </row>
    <row r="10" spans="1:3" x14ac:dyDescent="0.2">
      <c r="A10" s="9" t="s">
        <v>31</v>
      </c>
      <c r="B10" s="20">
        <v>108705</v>
      </c>
      <c r="C10" s="20">
        <v>110867</v>
      </c>
    </row>
    <row r="11" spans="1:3" x14ac:dyDescent="0.2">
      <c r="A11" s="9" t="s">
        <v>32</v>
      </c>
      <c r="B11" s="20">
        <v>105562</v>
      </c>
      <c r="C11" s="20">
        <v>104382</v>
      </c>
    </row>
    <row r="12" spans="1:3" x14ac:dyDescent="0.2">
      <c r="A12" s="9" t="s">
        <v>33</v>
      </c>
      <c r="B12" s="20">
        <v>93921</v>
      </c>
      <c r="C12" s="20">
        <v>87117</v>
      </c>
    </row>
    <row r="13" spans="1:3" x14ac:dyDescent="0.2">
      <c r="A13" s="9" t="s">
        <v>34</v>
      </c>
      <c r="B13" s="20">
        <v>79958</v>
      </c>
      <c r="C13" s="20">
        <v>79658</v>
      </c>
    </row>
    <row r="14" spans="1:3" x14ac:dyDescent="0.2">
      <c r="A14" s="9" t="s">
        <v>35</v>
      </c>
      <c r="B14" s="20">
        <v>78488</v>
      </c>
      <c r="C14" s="20">
        <v>83658</v>
      </c>
    </row>
    <row r="15" spans="1:3" x14ac:dyDescent="0.2">
      <c r="A15" s="9" t="s">
        <v>36</v>
      </c>
      <c r="B15" s="20">
        <v>85449</v>
      </c>
      <c r="C15" s="20">
        <v>92239</v>
      </c>
    </row>
    <row r="16" spans="1:3" x14ac:dyDescent="0.2">
      <c r="A16" s="9" t="s">
        <v>37</v>
      </c>
      <c r="B16" s="20">
        <v>92237</v>
      </c>
      <c r="C16" s="20">
        <v>98391</v>
      </c>
    </row>
    <row r="17" spans="1:3" x14ac:dyDescent="0.2">
      <c r="A17" s="9" t="s">
        <v>38</v>
      </c>
      <c r="B17" s="20">
        <v>95110</v>
      </c>
      <c r="C17" s="20">
        <v>100004</v>
      </c>
    </row>
    <row r="18" spans="1:3" x14ac:dyDescent="0.2">
      <c r="A18" s="9" t="s">
        <v>39</v>
      </c>
      <c r="B18" s="20">
        <v>77566</v>
      </c>
      <c r="C18" s="20">
        <v>84570</v>
      </c>
    </row>
    <row r="19" spans="1:3" x14ac:dyDescent="0.2">
      <c r="A19" s="9" t="s">
        <v>40</v>
      </c>
      <c r="B19" s="20">
        <v>56403</v>
      </c>
      <c r="C19" s="20">
        <v>61841</v>
      </c>
    </row>
    <row r="20" spans="1:3" x14ac:dyDescent="0.2">
      <c r="A20" s="9" t="s">
        <v>41</v>
      </c>
      <c r="B20" s="20">
        <v>39898</v>
      </c>
      <c r="C20" s="20">
        <v>43675</v>
      </c>
    </row>
    <row r="21" spans="1:3" x14ac:dyDescent="0.2">
      <c r="A21" s="9" t="s">
        <v>42</v>
      </c>
      <c r="B21" s="20">
        <v>28848</v>
      </c>
      <c r="C21" s="20">
        <v>34202</v>
      </c>
    </row>
    <row r="22" spans="1:3" x14ac:dyDescent="0.2">
      <c r="A22" s="9" t="s">
        <v>23</v>
      </c>
      <c r="B22" s="20">
        <v>13780</v>
      </c>
      <c r="C22" s="20">
        <v>13713</v>
      </c>
    </row>
    <row r="23" spans="1:3" x14ac:dyDescent="0.2">
      <c r="A23" s="9" t="s">
        <v>18</v>
      </c>
      <c r="B23" s="20">
        <v>1366921</v>
      </c>
      <c r="C23" s="20">
        <v>1394864</v>
      </c>
    </row>
  </sheetData>
  <pageMargins left="0.7" right="0.7" top="0.75" bottom="0.75" header="0.3" footer="0.3"/>
  <pageSetup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DCBEC-4AF5-1746-828E-0B3B9551E2BA}">
  <dimension ref="A1:I384"/>
  <sheetViews>
    <sheetView zoomScale="114" workbookViewId="0">
      <selection activeCell="I5" sqref="I5"/>
    </sheetView>
  </sheetViews>
  <sheetFormatPr baseColWidth="10" defaultRowHeight="16" x14ac:dyDescent="0.2"/>
  <cols>
    <col min="3" max="3" width="11.6640625" bestFit="1" customWidth="1"/>
    <col min="4" max="4" width="11" bestFit="1" customWidth="1"/>
  </cols>
  <sheetData>
    <row r="1" spans="1:9" x14ac:dyDescent="0.2">
      <c r="A1" s="23" t="s">
        <v>21</v>
      </c>
      <c r="B1" s="23" t="s">
        <v>24</v>
      </c>
      <c r="C1" s="23" t="s">
        <v>15</v>
      </c>
      <c r="D1" s="23" t="s">
        <v>25</v>
      </c>
      <c r="E1" s="23" t="s">
        <v>22</v>
      </c>
    </row>
    <row r="2" spans="1:9" x14ac:dyDescent="0.2">
      <c r="A2" s="24" t="s">
        <v>27</v>
      </c>
      <c r="B2" s="24">
        <v>2015</v>
      </c>
      <c r="C2" s="25">
        <v>88533</v>
      </c>
      <c r="D2" s="25">
        <v>82861</v>
      </c>
      <c r="E2" s="26">
        <f>C2+D2</f>
        <v>171394</v>
      </c>
      <c r="F2" s="20"/>
      <c r="G2" s="15" t="s">
        <v>44</v>
      </c>
      <c r="H2" s="15"/>
      <c r="I2" s="15"/>
    </row>
    <row r="3" spans="1:9" x14ac:dyDescent="0.2">
      <c r="A3" s="24" t="s">
        <v>27</v>
      </c>
      <c r="B3" s="24">
        <v>2016</v>
      </c>
      <c r="C3" s="25">
        <v>86277</v>
      </c>
      <c r="D3" s="25">
        <v>81305</v>
      </c>
      <c r="E3" s="26">
        <f t="shared" ref="E3:E66" si="0">C3+D3</f>
        <v>167582</v>
      </c>
      <c r="F3" s="20"/>
    </row>
    <row r="4" spans="1:9" x14ac:dyDescent="0.2">
      <c r="A4" s="24" t="s">
        <v>27</v>
      </c>
      <c r="B4" s="24">
        <v>2017</v>
      </c>
      <c r="C4" s="25">
        <v>86238</v>
      </c>
      <c r="D4" s="25">
        <v>80367</v>
      </c>
      <c r="E4" s="26">
        <f t="shared" si="0"/>
        <v>166605</v>
      </c>
      <c r="F4" s="20"/>
    </row>
    <row r="5" spans="1:9" x14ac:dyDescent="0.2">
      <c r="A5" s="24" t="s">
        <v>27</v>
      </c>
      <c r="B5" s="24">
        <v>2018</v>
      </c>
      <c r="C5" s="25">
        <v>83526</v>
      </c>
      <c r="D5" s="25">
        <v>78890</v>
      </c>
      <c r="E5" s="26">
        <f t="shared" si="0"/>
        <v>162416</v>
      </c>
      <c r="F5" s="20"/>
    </row>
    <row r="6" spans="1:9" x14ac:dyDescent="0.2">
      <c r="A6" s="24" t="s">
        <v>27</v>
      </c>
      <c r="B6" s="24">
        <v>2019</v>
      </c>
      <c r="C6" s="25">
        <v>79788</v>
      </c>
      <c r="D6" s="25">
        <v>75834</v>
      </c>
      <c r="E6" s="26">
        <f t="shared" si="0"/>
        <v>155622</v>
      </c>
      <c r="F6" s="20"/>
    </row>
    <row r="7" spans="1:9" x14ac:dyDescent="0.2">
      <c r="A7" s="24" t="s">
        <v>27</v>
      </c>
      <c r="B7" s="24">
        <v>2020</v>
      </c>
      <c r="C7" s="25">
        <v>76045</v>
      </c>
      <c r="D7" s="25">
        <v>71862</v>
      </c>
      <c r="E7" s="26">
        <f t="shared" si="0"/>
        <v>147907</v>
      </c>
      <c r="F7" s="20"/>
    </row>
    <row r="8" spans="1:9" x14ac:dyDescent="0.2">
      <c r="A8" s="24" t="s">
        <v>27</v>
      </c>
      <c r="B8" s="24">
        <v>2021</v>
      </c>
      <c r="C8" s="25">
        <v>73974</v>
      </c>
      <c r="D8" s="25">
        <v>69572</v>
      </c>
      <c r="E8" s="26">
        <f t="shared" si="0"/>
        <v>143546</v>
      </c>
      <c r="F8" s="20"/>
    </row>
    <row r="9" spans="1:9" x14ac:dyDescent="0.2">
      <c r="A9" s="24" t="s">
        <v>27</v>
      </c>
      <c r="B9" s="24">
        <v>2022</v>
      </c>
      <c r="C9" s="25">
        <v>71489</v>
      </c>
      <c r="D9" s="25">
        <v>67002</v>
      </c>
      <c r="E9" s="26">
        <f t="shared" si="0"/>
        <v>138491</v>
      </c>
      <c r="F9" s="20"/>
    </row>
    <row r="10" spans="1:9" x14ac:dyDescent="0.2">
      <c r="A10" s="24" t="s">
        <v>27</v>
      </c>
      <c r="B10" s="24">
        <v>2023</v>
      </c>
      <c r="C10" s="25">
        <v>67886</v>
      </c>
      <c r="D10" s="25">
        <v>64122</v>
      </c>
      <c r="E10" s="26">
        <f t="shared" si="0"/>
        <v>132008</v>
      </c>
      <c r="F10" s="20"/>
    </row>
    <row r="11" spans="1:9" x14ac:dyDescent="0.2">
      <c r="A11" s="24" t="s">
        <v>27</v>
      </c>
      <c r="B11" s="24">
        <v>2024</v>
      </c>
      <c r="C11" s="25">
        <v>57143</v>
      </c>
      <c r="D11" s="25">
        <v>52711</v>
      </c>
      <c r="E11" s="26">
        <f>VALUE(C11)+VALUE(D11)</f>
        <v>109854</v>
      </c>
      <c r="F11" s="20"/>
    </row>
    <row r="12" spans="1:9" x14ac:dyDescent="0.2">
      <c r="A12" s="24" t="s">
        <v>27</v>
      </c>
      <c r="B12" s="24">
        <v>2025</v>
      </c>
      <c r="C12" s="25">
        <v>55493</v>
      </c>
      <c r="D12" s="25">
        <v>51627</v>
      </c>
      <c r="E12" s="26">
        <f t="shared" si="0"/>
        <v>107120</v>
      </c>
      <c r="F12" s="20"/>
    </row>
    <row r="13" spans="1:9" x14ac:dyDescent="0.2">
      <c r="A13" s="27" t="s">
        <v>26</v>
      </c>
      <c r="B13" s="24">
        <v>2015</v>
      </c>
      <c r="C13" s="25">
        <v>158659</v>
      </c>
      <c r="D13" s="25">
        <v>83774</v>
      </c>
      <c r="E13" s="26">
        <f t="shared" si="0"/>
        <v>242433</v>
      </c>
      <c r="F13" s="20"/>
    </row>
    <row r="14" spans="1:9" x14ac:dyDescent="0.2">
      <c r="A14" s="27" t="s">
        <v>26</v>
      </c>
      <c r="B14" s="24">
        <v>2016</v>
      </c>
      <c r="C14" s="25">
        <v>80963</v>
      </c>
      <c r="D14" s="25">
        <v>72571</v>
      </c>
      <c r="E14" s="26">
        <f t="shared" si="0"/>
        <v>153534</v>
      </c>
      <c r="F14" s="20"/>
    </row>
    <row r="15" spans="1:9" x14ac:dyDescent="0.2">
      <c r="A15" s="27" t="s">
        <v>26</v>
      </c>
      <c r="B15" s="24">
        <v>2017</v>
      </c>
      <c r="C15" s="25">
        <v>85561</v>
      </c>
      <c r="D15" s="25">
        <v>78748</v>
      </c>
      <c r="E15" s="26">
        <f t="shared" si="0"/>
        <v>164309</v>
      </c>
      <c r="F15" s="20"/>
    </row>
    <row r="16" spans="1:9" x14ac:dyDescent="0.2">
      <c r="A16" s="27" t="s">
        <v>26</v>
      </c>
      <c r="B16" s="24">
        <v>2018</v>
      </c>
      <c r="C16" s="25">
        <v>84180</v>
      </c>
      <c r="D16" s="25">
        <v>79695</v>
      </c>
      <c r="E16" s="26">
        <f t="shared" si="0"/>
        <v>163875</v>
      </c>
      <c r="F16" s="20"/>
    </row>
    <row r="17" spans="1:6" x14ac:dyDescent="0.2">
      <c r="A17" s="27" t="s">
        <v>26</v>
      </c>
      <c r="B17" s="24">
        <v>2019</v>
      </c>
      <c r="C17" s="25">
        <v>83414</v>
      </c>
      <c r="D17" s="25">
        <v>80038</v>
      </c>
      <c r="E17" s="26">
        <f t="shared" si="0"/>
        <v>163452</v>
      </c>
      <c r="F17" s="20"/>
    </row>
    <row r="18" spans="1:6" x14ac:dyDescent="0.2">
      <c r="A18" s="27" t="s">
        <v>26</v>
      </c>
      <c r="B18" s="24">
        <v>2020</v>
      </c>
      <c r="C18" s="25">
        <v>83364</v>
      </c>
      <c r="D18" s="25">
        <v>80821</v>
      </c>
      <c r="E18" s="26">
        <f t="shared" si="0"/>
        <v>164185</v>
      </c>
      <c r="F18" s="20"/>
    </row>
    <row r="19" spans="1:6" x14ac:dyDescent="0.2">
      <c r="A19" s="27" t="s">
        <v>26</v>
      </c>
      <c r="B19" s="24">
        <v>2021</v>
      </c>
      <c r="C19" s="25">
        <v>81708</v>
      </c>
      <c r="D19" s="25">
        <v>80005</v>
      </c>
      <c r="E19" s="26">
        <f t="shared" si="0"/>
        <v>161713</v>
      </c>
      <c r="F19" s="20"/>
    </row>
    <row r="20" spans="1:6" x14ac:dyDescent="0.2">
      <c r="A20" s="27" t="s">
        <v>26</v>
      </c>
      <c r="B20" s="24">
        <v>2022</v>
      </c>
      <c r="C20" s="25">
        <v>79844</v>
      </c>
      <c r="D20" s="25">
        <v>78734</v>
      </c>
      <c r="E20" s="26">
        <f t="shared" si="0"/>
        <v>158578</v>
      </c>
      <c r="F20" s="20"/>
    </row>
    <row r="21" spans="1:6" x14ac:dyDescent="0.2">
      <c r="A21" s="27" t="s">
        <v>26</v>
      </c>
      <c r="B21" s="24">
        <v>2023</v>
      </c>
      <c r="C21" s="25">
        <v>77259</v>
      </c>
      <c r="D21" s="25">
        <v>76099</v>
      </c>
      <c r="E21" s="26">
        <f t="shared" si="0"/>
        <v>153358</v>
      </c>
      <c r="F21" s="20"/>
    </row>
    <row r="22" spans="1:6" x14ac:dyDescent="0.2">
      <c r="A22" s="27" t="s">
        <v>26</v>
      </c>
      <c r="B22" s="24">
        <v>2024</v>
      </c>
      <c r="C22" s="25">
        <v>64316</v>
      </c>
      <c r="D22" s="25">
        <v>59450</v>
      </c>
      <c r="E22" s="26">
        <f t="shared" si="0"/>
        <v>123766</v>
      </c>
      <c r="F22" s="20"/>
    </row>
    <row r="23" spans="1:6" x14ac:dyDescent="0.2">
      <c r="A23" s="27" t="s">
        <v>26</v>
      </c>
      <c r="B23" s="24">
        <v>2025</v>
      </c>
      <c r="C23" s="25">
        <v>61722</v>
      </c>
      <c r="D23" s="25">
        <v>57070</v>
      </c>
      <c r="E23" s="26">
        <f t="shared" si="0"/>
        <v>118792</v>
      </c>
      <c r="F23" s="20"/>
    </row>
    <row r="24" spans="1:6" x14ac:dyDescent="0.2">
      <c r="A24" s="28" t="s">
        <v>28</v>
      </c>
      <c r="B24" s="24">
        <v>2015</v>
      </c>
      <c r="C24" s="25">
        <v>105488</v>
      </c>
      <c r="D24" s="25">
        <v>98128</v>
      </c>
      <c r="E24" s="26">
        <f t="shared" si="0"/>
        <v>203616</v>
      </c>
      <c r="F24" s="20"/>
    </row>
    <row r="25" spans="1:6" x14ac:dyDescent="0.2">
      <c r="A25" s="28" t="s">
        <v>28</v>
      </c>
      <c r="B25" s="24">
        <v>2016</v>
      </c>
      <c r="C25" s="25">
        <v>98001</v>
      </c>
      <c r="D25" s="25">
        <v>90696</v>
      </c>
      <c r="E25" s="26">
        <f t="shared" si="0"/>
        <v>188697</v>
      </c>
      <c r="F25" s="20"/>
    </row>
    <row r="26" spans="1:6" x14ac:dyDescent="0.2">
      <c r="A26" s="28" t="s">
        <v>28</v>
      </c>
      <c r="B26" s="24">
        <v>2017</v>
      </c>
      <c r="C26" s="25">
        <v>99423</v>
      </c>
      <c r="D26" s="25">
        <v>91773</v>
      </c>
      <c r="E26" s="26">
        <f t="shared" si="0"/>
        <v>191196</v>
      </c>
      <c r="F26" s="20"/>
    </row>
    <row r="27" spans="1:6" x14ac:dyDescent="0.2">
      <c r="A27" s="28" t="s">
        <v>28</v>
      </c>
      <c r="B27" s="24">
        <v>2018</v>
      </c>
      <c r="C27" s="25">
        <v>93638</v>
      </c>
      <c r="D27" s="25">
        <v>87021</v>
      </c>
      <c r="E27" s="26">
        <f t="shared" si="0"/>
        <v>180659</v>
      </c>
      <c r="F27" s="20"/>
    </row>
    <row r="28" spans="1:6" x14ac:dyDescent="0.2">
      <c r="A28" s="28" t="s">
        <v>28</v>
      </c>
      <c r="B28" s="24">
        <v>2019</v>
      </c>
      <c r="C28" s="25">
        <v>89801</v>
      </c>
      <c r="D28" s="25">
        <v>84549</v>
      </c>
      <c r="E28" s="26">
        <f t="shared" si="0"/>
        <v>174350</v>
      </c>
      <c r="F28" s="20"/>
    </row>
    <row r="29" spans="1:6" x14ac:dyDescent="0.2">
      <c r="A29" s="28" t="s">
        <v>28</v>
      </c>
      <c r="B29" s="24">
        <v>2020</v>
      </c>
      <c r="C29" s="25">
        <v>85586</v>
      </c>
      <c r="D29" s="25">
        <v>81172</v>
      </c>
      <c r="E29" s="26">
        <f t="shared" si="0"/>
        <v>166758</v>
      </c>
      <c r="F29" s="20"/>
    </row>
    <row r="30" spans="1:6" x14ac:dyDescent="0.2">
      <c r="A30" s="28" t="s">
        <v>28</v>
      </c>
      <c r="B30" s="24">
        <v>2021</v>
      </c>
      <c r="C30" s="25">
        <v>83041</v>
      </c>
      <c r="D30" s="25">
        <v>79066</v>
      </c>
      <c r="E30" s="26">
        <f t="shared" si="0"/>
        <v>162107</v>
      </c>
      <c r="F30" s="20"/>
    </row>
    <row r="31" spans="1:6" x14ac:dyDescent="0.2">
      <c r="A31" s="28" t="s">
        <v>28</v>
      </c>
      <c r="B31" s="24">
        <v>2022</v>
      </c>
      <c r="C31" s="25">
        <v>80976</v>
      </c>
      <c r="D31" s="25">
        <v>78043</v>
      </c>
      <c r="E31" s="26">
        <f t="shared" si="0"/>
        <v>159019</v>
      </c>
      <c r="F31" s="20"/>
    </row>
    <row r="32" spans="1:6" x14ac:dyDescent="0.2">
      <c r="A32" s="28" t="s">
        <v>28</v>
      </c>
      <c r="B32" s="24">
        <v>2023</v>
      </c>
      <c r="C32" s="25">
        <v>79737</v>
      </c>
      <c r="D32" s="25">
        <v>78124</v>
      </c>
      <c r="E32" s="26">
        <f t="shared" si="0"/>
        <v>157861</v>
      </c>
      <c r="F32" s="20"/>
    </row>
    <row r="33" spans="1:6" x14ac:dyDescent="0.2">
      <c r="A33" s="28" t="s">
        <v>28</v>
      </c>
      <c r="B33" s="24">
        <v>2024</v>
      </c>
      <c r="C33" s="25">
        <v>70420</v>
      </c>
      <c r="D33" s="25">
        <v>65353</v>
      </c>
      <c r="E33" s="26">
        <f t="shared" si="0"/>
        <v>135773</v>
      </c>
      <c r="F33" s="20"/>
    </row>
    <row r="34" spans="1:6" x14ac:dyDescent="0.2">
      <c r="A34" s="28" t="s">
        <v>28</v>
      </c>
      <c r="B34" s="24">
        <v>2025</v>
      </c>
      <c r="C34" s="25">
        <v>68498</v>
      </c>
      <c r="D34" s="25">
        <v>63938</v>
      </c>
      <c r="E34" s="26">
        <f t="shared" si="0"/>
        <v>132436</v>
      </c>
      <c r="F34" s="20"/>
    </row>
    <row r="35" spans="1:6" x14ac:dyDescent="0.2">
      <c r="A35" s="24" t="s">
        <v>29</v>
      </c>
      <c r="B35" s="24">
        <v>2015</v>
      </c>
      <c r="C35" s="25">
        <v>126251</v>
      </c>
      <c r="D35" s="25">
        <v>120283</v>
      </c>
      <c r="E35" s="26">
        <f t="shared" si="0"/>
        <v>246534</v>
      </c>
      <c r="F35" s="20"/>
    </row>
    <row r="36" spans="1:6" x14ac:dyDescent="0.2">
      <c r="A36" s="24" t="s">
        <v>29</v>
      </c>
      <c r="B36" s="24">
        <v>2016</v>
      </c>
      <c r="C36" s="25">
        <v>119988</v>
      </c>
      <c r="D36" s="25">
        <v>113531</v>
      </c>
      <c r="E36" s="26">
        <f t="shared" si="0"/>
        <v>233519</v>
      </c>
      <c r="F36" s="20"/>
    </row>
    <row r="37" spans="1:6" x14ac:dyDescent="0.2">
      <c r="A37" s="24" t="s">
        <v>29</v>
      </c>
      <c r="B37" s="24">
        <v>2017</v>
      </c>
      <c r="C37" s="25">
        <v>112793</v>
      </c>
      <c r="D37" s="25">
        <v>108144</v>
      </c>
      <c r="E37" s="26">
        <f t="shared" si="0"/>
        <v>220937</v>
      </c>
      <c r="F37" s="20"/>
    </row>
    <row r="38" spans="1:6" x14ac:dyDescent="0.2">
      <c r="A38" s="24" t="s">
        <v>29</v>
      </c>
      <c r="B38" s="24">
        <v>2018</v>
      </c>
      <c r="C38" s="25">
        <v>108620</v>
      </c>
      <c r="D38" s="25">
        <v>106016</v>
      </c>
      <c r="E38" s="26">
        <f t="shared" si="0"/>
        <v>214636</v>
      </c>
      <c r="F38" s="20"/>
    </row>
    <row r="39" spans="1:6" x14ac:dyDescent="0.2">
      <c r="A39" s="24" t="s">
        <v>29</v>
      </c>
      <c r="B39" s="24">
        <v>2019</v>
      </c>
      <c r="C39" s="25">
        <v>104737</v>
      </c>
      <c r="D39" s="25">
        <v>102455</v>
      </c>
      <c r="E39" s="26">
        <f t="shared" si="0"/>
        <v>207192</v>
      </c>
      <c r="F39" s="20"/>
    </row>
    <row r="40" spans="1:6" x14ac:dyDescent="0.2">
      <c r="A40" s="24" t="s">
        <v>29</v>
      </c>
      <c r="B40" s="24">
        <v>2020</v>
      </c>
      <c r="C40" s="25">
        <v>100459</v>
      </c>
      <c r="D40" s="25">
        <v>96874</v>
      </c>
      <c r="E40" s="26">
        <f t="shared" si="0"/>
        <v>197333</v>
      </c>
      <c r="F40" s="20"/>
    </row>
    <row r="41" spans="1:6" x14ac:dyDescent="0.2">
      <c r="A41" s="24" t="s">
        <v>29</v>
      </c>
      <c r="B41" s="24">
        <v>2021</v>
      </c>
      <c r="C41" s="25">
        <v>96566</v>
      </c>
      <c r="D41" s="25">
        <v>92509</v>
      </c>
      <c r="E41" s="26">
        <f t="shared" si="0"/>
        <v>189075</v>
      </c>
      <c r="F41" s="20"/>
    </row>
    <row r="42" spans="1:6" x14ac:dyDescent="0.2">
      <c r="A42" s="24" t="s">
        <v>29</v>
      </c>
      <c r="B42" s="24">
        <v>2022</v>
      </c>
      <c r="C42" s="25">
        <v>93320</v>
      </c>
      <c r="D42" s="25">
        <v>89877</v>
      </c>
      <c r="E42" s="26">
        <f t="shared" si="0"/>
        <v>183197</v>
      </c>
      <c r="F42" s="20"/>
    </row>
    <row r="43" spans="1:6" x14ac:dyDescent="0.2">
      <c r="A43" s="24" t="s">
        <v>29</v>
      </c>
      <c r="B43" s="24">
        <v>2023</v>
      </c>
      <c r="C43" s="25">
        <v>87761</v>
      </c>
      <c r="D43" s="25">
        <v>84315</v>
      </c>
      <c r="E43" s="26">
        <f t="shared" si="0"/>
        <v>172076</v>
      </c>
      <c r="F43" s="20"/>
    </row>
    <row r="44" spans="1:6" x14ac:dyDescent="0.2">
      <c r="A44" s="24" t="s">
        <v>29</v>
      </c>
      <c r="B44" s="24">
        <v>2024</v>
      </c>
      <c r="C44" s="25">
        <v>71343</v>
      </c>
      <c r="D44" s="25">
        <v>69968</v>
      </c>
      <c r="E44" s="26">
        <f t="shared" si="0"/>
        <v>141311</v>
      </c>
      <c r="F44" s="20"/>
    </row>
    <row r="45" spans="1:6" x14ac:dyDescent="0.2">
      <c r="A45" s="24" t="s">
        <v>29</v>
      </c>
      <c r="B45" s="24">
        <v>2025</v>
      </c>
      <c r="C45" s="25">
        <v>69456</v>
      </c>
      <c r="D45" s="25">
        <v>66376</v>
      </c>
      <c r="E45" s="26">
        <f t="shared" si="0"/>
        <v>135832</v>
      </c>
      <c r="F45" s="20"/>
    </row>
    <row r="46" spans="1:6" x14ac:dyDescent="0.2">
      <c r="A46" s="24" t="s">
        <v>30</v>
      </c>
      <c r="B46" s="24">
        <v>2015</v>
      </c>
      <c r="C46" s="25">
        <v>119457</v>
      </c>
      <c r="D46" s="25">
        <v>98312</v>
      </c>
      <c r="E46" s="26">
        <f t="shared" si="0"/>
        <v>217769</v>
      </c>
      <c r="F46" s="20"/>
    </row>
    <row r="47" spans="1:6" x14ac:dyDescent="0.2">
      <c r="A47" s="24" t="s">
        <v>30</v>
      </c>
      <c r="B47" s="24">
        <v>2016</v>
      </c>
      <c r="C47" s="25">
        <v>115857</v>
      </c>
      <c r="D47" s="25">
        <v>92521</v>
      </c>
      <c r="E47" s="26">
        <f t="shared" si="0"/>
        <v>208378</v>
      </c>
      <c r="F47" s="20"/>
    </row>
    <row r="48" spans="1:6" x14ac:dyDescent="0.2">
      <c r="A48" s="24" t="s">
        <v>30</v>
      </c>
      <c r="B48" s="24">
        <v>2017</v>
      </c>
      <c r="C48" s="25">
        <v>130180</v>
      </c>
      <c r="D48" s="25">
        <v>123992</v>
      </c>
      <c r="E48" s="26">
        <f t="shared" si="0"/>
        <v>254172</v>
      </c>
      <c r="F48" s="20"/>
    </row>
    <row r="49" spans="1:6" x14ac:dyDescent="0.2">
      <c r="A49" s="24" t="s">
        <v>30</v>
      </c>
      <c r="B49" s="24">
        <v>2018</v>
      </c>
      <c r="C49" s="25">
        <v>124533</v>
      </c>
      <c r="D49" s="25">
        <v>122604</v>
      </c>
      <c r="E49" s="26">
        <f t="shared" si="0"/>
        <v>247137</v>
      </c>
      <c r="F49" s="20"/>
    </row>
    <row r="50" spans="1:6" x14ac:dyDescent="0.2">
      <c r="A50" s="24" t="s">
        <v>30</v>
      </c>
      <c r="B50" s="24">
        <v>2019</v>
      </c>
      <c r="C50" s="25">
        <v>118522</v>
      </c>
      <c r="D50" s="25">
        <v>118460</v>
      </c>
      <c r="E50" s="26">
        <f t="shared" si="0"/>
        <v>236982</v>
      </c>
      <c r="F50" s="20"/>
    </row>
    <row r="51" spans="1:6" x14ac:dyDescent="0.2">
      <c r="A51" s="24" t="s">
        <v>30</v>
      </c>
      <c r="B51" s="24">
        <v>2020</v>
      </c>
      <c r="C51" s="25">
        <v>112810</v>
      </c>
      <c r="D51" s="25">
        <v>113615</v>
      </c>
      <c r="E51" s="26">
        <f t="shared" si="0"/>
        <v>226425</v>
      </c>
      <c r="F51" s="20"/>
    </row>
    <row r="52" spans="1:6" x14ac:dyDescent="0.2">
      <c r="A52" s="24" t="s">
        <v>30</v>
      </c>
      <c r="B52" s="24">
        <v>2021</v>
      </c>
      <c r="C52" s="25">
        <v>109136</v>
      </c>
      <c r="D52" s="25">
        <v>109651</v>
      </c>
      <c r="E52" s="26">
        <f t="shared" si="0"/>
        <v>218787</v>
      </c>
      <c r="F52" s="20"/>
    </row>
    <row r="53" spans="1:6" x14ac:dyDescent="0.2">
      <c r="A53" s="24" t="s">
        <v>30</v>
      </c>
      <c r="B53" s="24">
        <v>2022</v>
      </c>
      <c r="C53" s="25">
        <v>101815</v>
      </c>
      <c r="D53" s="25">
        <v>101448</v>
      </c>
      <c r="E53" s="26">
        <f t="shared" si="0"/>
        <v>203263</v>
      </c>
      <c r="F53" s="20"/>
    </row>
    <row r="54" spans="1:6" x14ac:dyDescent="0.2">
      <c r="A54" s="24" t="s">
        <v>30</v>
      </c>
      <c r="B54" s="24">
        <v>2023</v>
      </c>
      <c r="C54" s="25">
        <v>98353</v>
      </c>
      <c r="D54" s="25">
        <v>97887</v>
      </c>
      <c r="E54" s="26">
        <f t="shared" si="0"/>
        <v>196240</v>
      </c>
      <c r="F54" s="20"/>
    </row>
    <row r="55" spans="1:6" x14ac:dyDescent="0.2">
      <c r="A55" s="24" t="s">
        <v>30</v>
      </c>
      <c r="B55" s="24">
        <v>2024</v>
      </c>
      <c r="C55" s="25">
        <v>68121</v>
      </c>
      <c r="D55" s="25">
        <v>73251</v>
      </c>
      <c r="E55" s="26">
        <f t="shared" si="0"/>
        <v>141372</v>
      </c>
      <c r="F55" s="20"/>
    </row>
    <row r="56" spans="1:6" x14ac:dyDescent="0.2">
      <c r="A56" s="24" t="s">
        <v>30</v>
      </c>
      <c r="B56" s="24">
        <v>2025</v>
      </c>
      <c r="C56" s="25">
        <v>65359</v>
      </c>
      <c r="D56" s="25">
        <v>70636</v>
      </c>
      <c r="E56" s="26">
        <f t="shared" si="0"/>
        <v>135995</v>
      </c>
      <c r="F56" s="20"/>
    </row>
    <row r="57" spans="1:6" x14ac:dyDescent="0.2">
      <c r="A57" s="24" t="s">
        <v>31</v>
      </c>
      <c r="B57" s="24">
        <v>2015</v>
      </c>
      <c r="C57" s="25">
        <v>115898</v>
      </c>
      <c r="D57" s="25">
        <v>94903</v>
      </c>
      <c r="E57" s="26">
        <f t="shared" si="0"/>
        <v>210801</v>
      </c>
      <c r="F57" s="20"/>
    </row>
    <row r="58" spans="1:6" x14ac:dyDescent="0.2">
      <c r="A58" s="24" t="s">
        <v>31</v>
      </c>
      <c r="B58" s="24">
        <v>2016</v>
      </c>
      <c r="C58" s="25">
        <v>115964</v>
      </c>
      <c r="D58" s="25">
        <v>93107</v>
      </c>
      <c r="E58" s="26">
        <f t="shared" si="0"/>
        <v>209071</v>
      </c>
      <c r="F58" s="20"/>
    </row>
    <row r="59" spans="1:6" x14ac:dyDescent="0.2">
      <c r="A59" s="24" t="s">
        <v>31</v>
      </c>
      <c r="B59" s="24">
        <v>2017</v>
      </c>
      <c r="C59" s="25">
        <v>123096</v>
      </c>
      <c r="D59" s="25">
        <v>107122</v>
      </c>
      <c r="E59" s="26">
        <f t="shared" si="0"/>
        <v>230218</v>
      </c>
      <c r="F59" s="20"/>
    </row>
    <row r="60" spans="1:6" x14ac:dyDescent="0.2">
      <c r="A60" s="24" t="s">
        <v>31</v>
      </c>
      <c r="B60" s="24">
        <v>2018</v>
      </c>
      <c r="C60" s="25">
        <v>121319</v>
      </c>
      <c r="D60" s="25">
        <v>112744</v>
      </c>
      <c r="E60" s="26">
        <f t="shared" si="0"/>
        <v>234063</v>
      </c>
      <c r="F60" s="20"/>
    </row>
    <row r="61" spans="1:6" x14ac:dyDescent="0.2">
      <c r="A61" s="24" t="s">
        <v>31</v>
      </c>
      <c r="B61" s="24">
        <v>2019</v>
      </c>
      <c r="C61" s="25">
        <v>120969</v>
      </c>
      <c r="D61" s="25">
        <v>116409</v>
      </c>
      <c r="E61" s="26">
        <f t="shared" si="0"/>
        <v>237378</v>
      </c>
      <c r="F61" s="20"/>
    </row>
    <row r="62" spans="1:6" x14ac:dyDescent="0.2">
      <c r="A62" s="24" t="s">
        <v>31</v>
      </c>
      <c r="B62" s="24">
        <v>2020</v>
      </c>
      <c r="C62" s="25">
        <v>120166</v>
      </c>
      <c r="D62" s="25">
        <v>117441</v>
      </c>
      <c r="E62" s="26">
        <f t="shared" si="0"/>
        <v>237607</v>
      </c>
      <c r="F62" s="20"/>
    </row>
    <row r="63" spans="1:6" x14ac:dyDescent="0.2">
      <c r="A63" s="24" t="s">
        <v>31</v>
      </c>
      <c r="B63" s="24">
        <v>2021</v>
      </c>
      <c r="C63" s="25">
        <v>117857</v>
      </c>
      <c r="D63" s="25">
        <v>117340</v>
      </c>
      <c r="E63" s="26">
        <f t="shared" si="0"/>
        <v>235197</v>
      </c>
      <c r="F63" s="20"/>
    </row>
    <row r="64" spans="1:6" x14ac:dyDescent="0.2">
      <c r="A64" s="24" t="s">
        <v>31</v>
      </c>
      <c r="B64" s="24">
        <v>2022</v>
      </c>
      <c r="C64" s="25">
        <v>113768</v>
      </c>
      <c r="D64" s="25">
        <v>115124</v>
      </c>
      <c r="E64" s="26">
        <f t="shared" si="0"/>
        <v>228892</v>
      </c>
      <c r="F64" s="20"/>
    </row>
    <row r="65" spans="1:6" x14ac:dyDescent="0.2">
      <c r="A65" s="24" t="s">
        <v>31</v>
      </c>
      <c r="B65" s="24">
        <v>2023</v>
      </c>
      <c r="C65" s="25">
        <v>108705</v>
      </c>
      <c r="D65" s="25">
        <v>110867</v>
      </c>
      <c r="E65" s="26">
        <f t="shared" si="0"/>
        <v>219572</v>
      </c>
      <c r="F65" s="20"/>
    </row>
    <row r="66" spans="1:6" x14ac:dyDescent="0.2">
      <c r="A66" s="24" t="s">
        <v>31</v>
      </c>
      <c r="B66" s="24">
        <v>2024</v>
      </c>
      <c r="C66" s="25">
        <v>71323</v>
      </c>
      <c r="D66" s="25">
        <v>70159</v>
      </c>
      <c r="E66" s="26">
        <f t="shared" si="0"/>
        <v>141482</v>
      </c>
      <c r="F66" s="20"/>
    </row>
    <row r="67" spans="1:6" x14ac:dyDescent="0.2">
      <c r="A67" s="24" t="s">
        <v>31</v>
      </c>
      <c r="B67" s="24">
        <v>2025</v>
      </c>
      <c r="C67" s="25">
        <v>66757</v>
      </c>
      <c r="D67" s="25">
        <v>67248</v>
      </c>
      <c r="E67" s="26">
        <f t="shared" ref="E67:E130" si="1">C67+D67</f>
        <v>134005</v>
      </c>
      <c r="F67" s="20"/>
    </row>
    <row r="68" spans="1:6" x14ac:dyDescent="0.2">
      <c r="A68" s="24" t="s">
        <v>32</v>
      </c>
      <c r="B68" s="24">
        <v>2015</v>
      </c>
      <c r="C68" s="25">
        <v>102508</v>
      </c>
      <c r="D68" s="25">
        <v>102353</v>
      </c>
      <c r="E68" s="26">
        <f t="shared" si="1"/>
        <v>204861</v>
      </c>
      <c r="F68" s="20"/>
    </row>
    <row r="69" spans="1:6" x14ac:dyDescent="0.2">
      <c r="A69" s="24" t="s">
        <v>32</v>
      </c>
      <c r="B69" s="24">
        <v>2016</v>
      </c>
      <c r="C69" s="25">
        <v>110989</v>
      </c>
      <c r="D69" s="25">
        <v>107685</v>
      </c>
      <c r="E69" s="26">
        <f t="shared" si="1"/>
        <v>218674</v>
      </c>
      <c r="F69" s="20"/>
    </row>
    <row r="70" spans="1:6" x14ac:dyDescent="0.2">
      <c r="A70" s="24" t="s">
        <v>32</v>
      </c>
      <c r="B70" s="24">
        <v>2017</v>
      </c>
      <c r="C70" s="25">
        <v>101216</v>
      </c>
      <c r="D70" s="25">
        <v>88496</v>
      </c>
      <c r="E70" s="26">
        <f t="shared" si="1"/>
        <v>189712</v>
      </c>
      <c r="F70" s="20"/>
    </row>
    <row r="71" spans="1:6" x14ac:dyDescent="0.2">
      <c r="A71" s="24" t="s">
        <v>32</v>
      </c>
      <c r="B71" s="24">
        <v>2018</v>
      </c>
      <c r="C71" s="25">
        <v>103177</v>
      </c>
      <c r="D71" s="25">
        <v>91282</v>
      </c>
      <c r="E71" s="26">
        <f t="shared" si="1"/>
        <v>194459</v>
      </c>
      <c r="F71" s="20"/>
    </row>
    <row r="72" spans="1:6" x14ac:dyDescent="0.2">
      <c r="A72" s="24" t="s">
        <v>32</v>
      </c>
      <c r="B72" s="24">
        <v>2019</v>
      </c>
      <c r="C72" s="25">
        <v>104446</v>
      </c>
      <c r="D72" s="25">
        <v>93256</v>
      </c>
      <c r="E72" s="26">
        <f t="shared" si="1"/>
        <v>197702</v>
      </c>
      <c r="F72" s="20"/>
    </row>
    <row r="73" spans="1:6" x14ac:dyDescent="0.2">
      <c r="A73" s="24" t="s">
        <v>32</v>
      </c>
      <c r="B73" s="24">
        <v>2020</v>
      </c>
      <c r="C73" s="25">
        <v>105848</v>
      </c>
      <c r="D73" s="25">
        <v>95093</v>
      </c>
      <c r="E73" s="26">
        <f t="shared" si="1"/>
        <v>200941</v>
      </c>
      <c r="F73" s="20"/>
    </row>
    <row r="74" spans="1:6" x14ac:dyDescent="0.2">
      <c r="A74" s="24" t="s">
        <v>32</v>
      </c>
      <c r="B74" s="24">
        <v>2021</v>
      </c>
      <c r="C74" s="25">
        <v>108995</v>
      </c>
      <c r="D74" s="25">
        <v>99057</v>
      </c>
      <c r="E74" s="26">
        <f t="shared" si="1"/>
        <v>208052</v>
      </c>
      <c r="F74" s="20"/>
    </row>
    <row r="75" spans="1:6" x14ac:dyDescent="0.2">
      <c r="A75" s="24" t="s">
        <v>32</v>
      </c>
      <c r="B75" s="24">
        <v>2022</v>
      </c>
      <c r="C75" s="25">
        <v>107410</v>
      </c>
      <c r="D75" s="25">
        <v>101817</v>
      </c>
      <c r="E75" s="26">
        <f t="shared" si="1"/>
        <v>209227</v>
      </c>
      <c r="F75" s="20"/>
    </row>
    <row r="76" spans="1:6" x14ac:dyDescent="0.2">
      <c r="A76" s="24" t="s">
        <v>32</v>
      </c>
      <c r="B76" s="24">
        <v>2023</v>
      </c>
      <c r="C76" s="25">
        <v>105562</v>
      </c>
      <c r="D76" s="25">
        <v>104382</v>
      </c>
      <c r="E76" s="26">
        <f t="shared" si="1"/>
        <v>209944</v>
      </c>
      <c r="F76" s="20"/>
    </row>
    <row r="77" spans="1:6" x14ac:dyDescent="0.2">
      <c r="A77" s="24" t="s">
        <v>32</v>
      </c>
      <c r="B77" s="24">
        <v>2024</v>
      </c>
      <c r="C77" s="25">
        <v>78174</v>
      </c>
      <c r="D77" s="25">
        <v>73605</v>
      </c>
      <c r="E77" s="26">
        <f t="shared" si="1"/>
        <v>151779</v>
      </c>
      <c r="F77" s="20"/>
    </row>
    <row r="78" spans="1:6" x14ac:dyDescent="0.2">
      <c r="A78" s="24" t="s">
        <v>32</v>
      </c>
      <c r="B78" s="24">
        <v>2025</v>
      </c>
      <c r="C78" s="25">
        <v>74753</v>
      </c>
      <c r="D78" s="25">
        <v>71637</v>
      </c>
      <c r="E78" s="26">
        <f t="shared" si="1"/>
        <v>146390</v>
      </c>
      <c r="F78" s="20"/>
    </row>
    <row r="79" spans="1:6" x14ac:dyDescent="0.2">
      <c r="A79" s="24" t="s">
        <v>33</v>
      </c>
      <c r="B79" s="24">
        <v>2015</v>
      </c>
      <c r="C79" s="25">
        <v>85864</v>
      </c>
      <c r="D79" s="25">
        <v>93538</v>
      </c>
      <c r="E79" s="26">
        <f t="shared" si="1"/>
        <v>179402</v>
      </c>
      <c r="F79" s="20"/>
    </row>
    <row r="80" spans="1:6" x14ac:dyDescent="0.2">
      <c r="A80" s="24" t="s">
        <v>33</v>
      </c>
      <c r="B80" s="24">
        <v>2016</v>
      </c>
      <c r="C80" s="25">
        <v>89199</v>
      </c>
      <c r="D80" s="25">
        <v>95853</v>
      </c>
      <c r="E80" s="26">
        <f t="shared" si="1"/>
        <v>185052</v>
      </c>
      <c r="F80" s="20"/>
    </row>
    <row r="81" spans="1:6" x14ac:dyDescent="0.2">
      <c r="A81" s="24" t="s">
        <v>33</v>
      </c>
      <c r="B81" s="24">
        <v>2017</v>
      </c>
      <c r="C81" s="25">
        <v>82229</v>
      </c>
      <c r="D81" s="25">
        <v>81621</v>
      </c>
      <c r="E81" s="26">
        <f t="shared" si="1"/>
        <v>163850</v>
      </c>
      <c r="F81" s="20"/>
    </row>
    <row r="82" spans="1:6" x14ac:dyDescent="0.2">
      <c r="A82" s="24" t="s">
        <v>33</v>
      </c>
      <c r="B82" s="24">
        <v>2018</v>
      </c>
      <c r="C82" s="25">
        <v>83056</v>
      </c>
      <c r="D82" s="25">
        <v>81761</v>
      </c>
      <c r="E82" s="26">
        <f t="shared" si="1"/>
        <v>164817</v>
      </c>
      <c r="F82" s="20"/>
    </row>
    <row r="83" spans="1:6" x14ac:dyDescent="0.2">
      <c r="A83" s="24" t="s">
        <v>33</v>
      </c>
      <c r="B83" s="24">
        <v>2019</v>
      </c>
      <c r="C83" s="25">
        <v>85824</v>
      </c>
      <c r="D83" s="25">
        <v>83281</v>
      </c>
      <c r="E83" s="26">
        <f t="shared" si="1"/>
        <v>169105</v>
      </c>
      <c r="F83" s="20"/>
    </row>
    <row r="84" spans="1:6" x14ac:dyDescent="0.2">
      <c r="A84" s="24" t="s">
        <v>33</v>
      </c>
      <c r="B84" s="24">
        <v>2020</v>
      </c>
      <c r="C84" s="25">
        <v>89125</v>
      </c>
      <c r="D84" s="25">
        <v>85047</v>
      </c>
      <c r="E84" s="26">
        <f t="shared" si="1"/>
        <v>174172</v>
      </c>
      <c r="F84" s="20"/>
    </row>
    <row r="85" spans="1:6" x14ac:dyDescent="0.2">
      <c r="A85" s="24" t="s">
        <v>33</v>
      </c>
      <c r="B85" s="24">
        <v>2021</v>
      </c>
      <c r="C85" s="25">
        <v>91048</v>
      </c>
      <c r="D85" s="25">
        <v>85911</v>
      </c>
      <c r="E85" s="26">
        <f t="shared" si="1"/>
        <v>176959</v>
      </c>
      <c r="F85" s="20"/>
    </row>
    <row r="86" spans="1:6" x14ac:dyDescent="0.2">
      <c r="A86" s="24" t="s">
        <v>33</v>
      </c>
      <c r="B86" s="24">
        <v>2022</v>
      </c>
      <c r="C86" s="25">
        <v>92423</v>
      </c>
      <c r="D86" s="25">
        <v>86038</v>
      </c>
      <c r="E86" s="26">
        <f t="shared" si="1"/>
        <v>178461</v>
      </c>
      <c r="F86" s="20"/>
    </row>
    <row r="87" spans="1:6" x14ac:dyDescent="0.2">
      <c r="A87" s="24" t="s">
        <v>33</v>
      </c>
      <c r="B87" s="24">
        <v>2023</v>
      </c>
      <c r="C87" s="25">
        <v>93921</v>
      </c>
      <c r="D87" s="25">
        <v>87117</v>
      </c>
      <c r="E87" s="26">
        <f t="shared" si="1"/>
        <v>181038</v>
      </c>
      <c r="F87" s="20"/>
    </row>
    <row r="88" spans="1:6" x14ac:dyDescent="0.2">
      <c r="A88" s="24" t="s">
        <v>33</v>
      </c>
      <c r="B88" s="24">
        <v>2024</v>
      </c>
      <c r="C88" s="25">
        <v>78323</v>
      </c>
      <c r="D88" s="25">
        <v>72972</v>
      </c>
      <c r="E88" s="26">
        <f t="shared" si="1"/>
        <v>151295</v>
      </c>
      <c r="F88" s="20"/>
    </row>
    <row r="89" spans="1:6" x14ac:dyDescent="0.2">
      <c r="A89" s="24" t="s">
        <v>33</v>
      </c>
      <c r="B89" s="24">
        <v>2025</v>
      </c>
      <c r="C89" s="25">
        <v>78121</v>
      </c>
      <c r="D89" s="25">
        <v>72020</v>
      </c>
      <c r="E89" s="26">
        <f t="shared" si="1"/>
        <v>150141</v>
      </c>
      <c r="F89" s="20"/>
    </row>
    <row r="90" spans="1:6" x14ac:dyDescent="0.2">
      <c r="A90" s="24" t="s">
        <v>34</v>
      </c>
      <c r="B90" s="24">
        <v>2015</v>
      </c>
      <c r="C90" s="25">
        <v>88765</v>
      </c>
      <c r="D90" s="25">
        <v>97610</v>
      </c>
      <c r="E90" s="26">
        <f t="shared" si="1"/>
        <v>186375</v>
      </c>
      <c r="F90" s="20"/>
    </row>
    <row r="91" spans="1:6" x14ac:dyDescent="0.2">
      <c r="A91" s="24" t="s">
        <v>34</v>
      </c>
      <c r="B91" s="24">
        <v>2016</v>
      </c>
      <c r="C91" s="25">
        <v>88821</v>
      </c>
      <c r="D91" s="25">
        <v>97408</v>
      </c>
      <c r="E91" s="26">
        <f t="shared" si="1"/>
        <v>186229</v>
      </c>
      <c r="F91" s="20"/>
    </row>
    <row r="92" spans="1:6" x14ac:dyDescent="0.2">
      <c r="A92" s="24" t="s">
        <v>34</v>
      </c>
      <c r="B92" s="24">
        <v>2017</v>
      </c>
      <c r="C92" s="25">
        <v>80792</v>
      </c>
      <c r="D92" s="25">
        <v>85707</v>
      </c>
      <c r="E92" s="26">
        <f t="shared" si="1"/>
        <v>166499</v>
      </c>
      <c r="F92" s="20"/>
    </row>
    <row r="93" spans="1:6" x14ac:dyDescent="0.2">
      <c r="A93" s="24" t="s">
        <v>34</v>
      </c>
      <c r="B93" s="24">
        <v>2018</v>
      </c>
      <c r="C93" s="25">
        <v>79849</v>
      </c>
      <c r="D93" s="25">
        <v>85182</v>
      </c>
      <c r="E93" s="26">
        <f t="shared" si="1"/>
        <v>165031</v>
      </c>
      <c r="F93" s="20"/>
    </row>
    <row r="94" spans="1:6" x14ac:dyDescent="0.2">
      <c r="A94" s="24" t="s">
        <v>34</v>
      </c>
      <c r="B94" s="24">
        <v>2019</v>
      </c>
      <c r="C94" s="25">
        <v>79173</v>
      </c>
      <c r="D94" s="25">
        <v>83208</v>
      </c>
      <c r="E94" s="26">
        <f t="shared" si="1"/>
        <v>162381</v>
      </c>
      <c r="F94" s="20"/>
    </row>
    <row r="95" spans="1:6" x14ac:dyDescent="0.2">
      <c r="A95" s="24" t="s">
        <v>34</v>
      </c>
      <c r="B95" s="24">
        <v>2020</v>
      </c>
      <c r="C95" s="25">
        <v>79021</v>
      </c>
      <c r="D95" s="25">
        <v>81498</v>
      </c>
      <c r="E95" s="26">
        <f t="shared" si="1"/>
        <v>160519</v>
      </c>
      <c r="F95" s="20"/>
    </row>
    <row r="96" spans="1:6" x14ac:dyDescent="0.2">
      <c r="A96" s="24" t="s">
        <v>34</v>
      </c>
      <c r="B96" s="24">
        <v>2021</v>
      </c>
      <c r="C96" s="25">
        <v>78999</v>
      </c>
      <c r="D96" s="25">
        <v>80415</v>
      </c>
      <c r="E96" s="26">
        <f t="shared" si="1"/>
        <v>159414</v>
      </c>
      <c r="F96" s="20"/>
    </row>
    <row r="97" spans="1:6" x14ac:dyDescent="0.2">
      <c r="A97" s="24" t="s">
        <v>34</v>
      </c>
      <c r="B97" s="24">
        <v>2022</v>
      </c>
      <c r="C97" s="25">
        <v>79527</v>
      </c>
      <c r="D97" s="25">
        <v>80438</v>
      </c>
      <c r="E97" s="26">
        <f t="shared" si="1"/>
        <v>159965</v>
      </c>
      <c r="F97" s="20"/>
    </row>
    <row r="98" spans="1:6" x14ac:dyDescent="0.2">
      <c r="A98" s="24" t="s">
        <v>34</v>
      </c>
      <c r="B98" s="24">
        <v>2023</v>
      </c>
      <c r="C98" s="25">
        <v>79958</v>
      </c>
      <c r="D98" s="25">
        <v>79658</v>
      </c>
      <c r="E98" s="26">
        <f t="shared" si="1"/>
        <v>159616</v>
      </c>
      <c r="F98" s="20"/>
    </row>
    <row r="99" spans="1:6" x14ac:dyDescent="0.2">
      <c r="A99" s="24" t="s">
        <v>34</v>
      </c>
      <c r="B99" s="24">
        <v>2024</v>
      </c>
      <c r="C99" s="25">
        <v>68091</v>
      </c>
      <c r="D99" s="25">
        <v>70827</v>
      </c>
      <c r="E99" s="26">
        <f t="shared" si="1"/>
        <v>138918</v>
      </c>
      <c r="F99" s="20"/>
    </row>
    <row r="100" spans="1:6" x14ac:dyDescent="0.2">
      <c r="A100" s="24" t="s">
        <v>34</v>
      </c>
      <c r="B100" s="24">
        <v>2025</v>
      </c>
      <c r="C100" s="25">
        <v>69445</v>
      </c>
      <c r="D100" s="25">
        <v>70856</v>
      </c>
      <c r="E100" s="26">
        <f t="shared" si="1"/>
        <v>140301</v>
      </c>
      <c r="F100" s="20"/>
    </row>
    <row r="101" spans="1:6" x14ac:dyDescent="0.2">
      <c r="A101" s="24" t="s">
        <v>35</v>
      </c>
      <c r="B101" s="24">
        <v>2015</v>
      </c>
      <c r="C101" s="25">
        <v>94798</v>
      </c>
      <c r="D101" s="25">
        <v>101110</v>
      </c>
      <c r="E101" s="26">
        <f t="shared" si="1"/>
        <v>195908</v>
      </c>
      <c r="F101" s="20"/>
    </row>
    <row r="102" spans="1:6" x14ac:dyDescent="0.2">
      <c r="A102" s="24" t="s">
        <v>35</v>
      </c>
      <c r="B102" s="24">
        <v>2016</v>
      </c>
      <c r="C102" s="25">
        <v>95301</v>
      </c>
      <c r="D102" s="25">
        <v>101801</v>
      </c>
      <c r="E102" s="26">
        <f t="shared" si="1"/>
        <v>197102</v>
      </c>
      <c r="F102" s="20"/>
    </row>
    <row r="103" spans="1:6" x14ac:dyDescent="0.2">
      <c r="A103" s="24" t="s">
        <v>35</v>
      </c>
      <c r="B103" s="24">
        <v>2017</v>
      </c>
      <c r="C103" s="25">
        <v>90193</v>
      </c>
      <c r="D103" s="25">
        <v>96841</v>
      </c>
      <c r="E103" s="26">
        <f t="shared" si="1"/>
        <v>187034</v>
      </c>
      <c r="F103" s="20"/>
    </row>
    <row r="104" spans="1:6" x14ac:dyDescent="0.2">
      <c r="A104" s="24" t="s">
        <v>35</v>
      </c>
      <c r="B104" s="24">
        <v>2018</v>
      </c>
      <c r="C104" s="25">
        <v>87168</v>
      </c>
      <c r="D104" s="25">
        <v>93847</v>
      </c>
      <c r="E104" s="26">
        <f t="shared" si="1"/>
        <v>181015</v>
      </c>
      <c r="F104" s="20"/>
    </row>
    <row r="105" spans="1:6" x14ac:dyDescent="0.2">
      <c r="A105" s="24" t="s">
        <v>35</v>
      </c>
      <c r="B105" s="24">
        <v>2019</v>
      </c>
      <c r="C105" s="25">
        <v>85217</v>
      </c>
      <c r="D105" s="25">
        <v>92099</v>
      </c>
      <c r="E105" s="26">
        <f t="shared" si="1"/>
        <v>177316</v>
      </c>
      <c r="F105" s="20"/>
    </row>
    <row r="106" spans="1:6" x14ac:dyDescent="0.2">
      <c r="A106" s="24" t="s">
        <v>35</v>
      </c>
      <c r="B106" s="24">
        <v>2020</v>
      </c>
      <c r="C106" s="25">
        <v>83241</v>
      </c>
      <c r="D106" s="25">
        <v>89259</v>
      </c>
      <c r="E106" s="26">
        <f t="shared" si="1"/>
        <v>172500</v>
      </c>
      <c r="F106" s="20"/>
    </row>
    <row r="107" spans="1:6" x14ac:dyDescent="0.2">
      <c r="A107" s="24" t="s">
        <v>35</v>
      </c>
      <c r="B107" s="24">
        <v>2021</v>
      </c>
      <c r="C107" s="25">
        <v>81594</v>
      </c>
      <c r="D107" s="25">
        <v>87253</v>
      </c>
      <c r="E107" s="26">
        <f t="shared" si="1"/>
        <v>168847</v>
      </c>
      <c r="F107" s="20"/>
    </row>
    <row r="108" spans="1:6" x14ac:dyDescent="0.2">
      <c r="A108" s="24" t="s">
        <v>35</v>
      </c>
      <c r="B108" s="24">
        <v>2022</v>
      </c>
      <c r="C108" s="25">
        <v>79573</v>
      </c>
      <c r="D108" s="25">
        <v>84767</v>
      </c>
      <c r="E108" s="26">
        <f t="shared" si="1"/>
        <v>164340</v>
      </c>
      <c r="F108" s="20"/>
    </row>
    <row r="109" spans="1:6" x14ac:dyDescent="0.2">
      <c r="A109" s="24" t="s">
        <v>35</v>
      </c>
      <c r="B109" s="24">
        <v>2023</v>
      </c>
      <c r="C109" s="25">
        <v>78488</v>
      </c>
      <c r="D109" s="25">
        <v>83658</v>
      </c>
      <c r="E109" s="26">
        <f t="shared" si="1"/>
        <v>162146</v>
      </c>
      <c r="F109" s="20"/>
    </row>
    <row r="110" spans="1:6" x14ac:dyDescent="0.2">
      <c r="A110" s="24" t="s">
        <v>35</v>
      </c>
      <c r="B110" s="24">
        <v>2024</v>
      </c>
      <c r="C110" s="25">
        <v>67428</v>
      </c>
      <c r="D110" s="25">
        <v>75410</v>
      </c>
      <c r="E110" s="26">
        <f t="shared" si="1"/>
        <v>142838</v>
      </c>
      <c r="F110" s="20"/>
    </row>
    <row r="111" spans="1:6" x14ac:dyDescent="0.2">
      <c r="A111" s="24" t="s">
        <v>35</v>
      </c>
      <c r="B111" s="24">
        <v>2025</v>
      </c>
      <c r="C111" s="25">
        <v>66292</v>
      </c>
      <c r="D111" s="25">
        <v>73330</v>
      </c>
      <c r="E111" s="26">
        <f t="shared" si="1"/>
        <v>139622</v>
      </c>
      <c r="F111" s="20"/>
    </row>
    <row r="112" spans="1:6" x14ac:dyDescent="0.2">
      <c r="A112" s="24" t="s">
        <v>36</v>
      </c>
      <c r="B112" s="24">
        <v>2015</v>
      </c>
      <c r="C112" s="25">
        <v>104710</v>
      </c>
      <c r="D112" s="25">
        <v>107906</v>
      </c>
      <c r="E112" s="26">
        <f t="shared" si="1"/>
        <v>212616</v>
      </c>
      <c r="F112" s="20"/>
    </row>
    <row r="113" spans="1:6" x14ac:dyDescent="0.2">
      <c r="A113" s="24" t="s">
        <v>36</v>
      </c>
      <c r="B113" s="24">
        <v>2016</v>
      </c>
      <c r="C113" s="25">
        <v>101468</v>
      </c>
      <c r="D113" s="25">
        <v>105322</v>
      </c>
      <c r="E113" s="26">
        <f t="shared" si="1"/>
        <v>206790</v>
      </c>
      <c r="F113" s="20"/>
    </row>
    <row r="114" spans="1:6" x14ac:dyDescent="0.2">
      <c r="A114" s="24" t="s">
        <v>36</v>
      </c>
      <c r="B114" s="24">
        <v>2017</v>
      </c>
      <c r="C114" s="25">
        <v>97914</v>
      </c>
      <c r="D114" s="25">
        <v>100616</v>
      </c>
      <c r="E114" s="26">
        <f t="shared" si="1"/>
        <v>198530</v>
      </c>
      <c r="F114" s="20"/>
    </row>
    <row r="115" spans="1:6" x14ac:dyDescent="0.2">
      <c r="A115" s="24" t="s">
        <v>36</v>
      </c>
      <c r="B115" s="24">
        <v>2018</v>
      </c>
      <c r="C115" s="25">
        <v>95533</v>
      </c>
      <c r="D115" s="25">
        <v>100280</v>
      </c>
      <c r="E115" s="26">
        <f t="shared" si="1"/>
        <v>195813</v>
      </c>
      <c r="F115" s="20"/>
    </row>
    <row r="116" spans="1:6" x14ac:dyDescent="0.2">
      <c r="A116" s="24" t="s">
        <v>36</v>
      </c>
      <c r="B116" s="24">
        <v>2019</v>
      </c>
      <c r="C116" s="25">
        <v>93241</v>
      </c>
      <c r="D116" s="25">
        <v>98377</v>
      </c>
      <c r="E116" s="26">
        <f t="shared" si="1"/>
        <v>191618</v>
      </c>
      <c r="F116" s="20"/>
    </row>
    <row r="117" spans="1:6" x14ac:dyDescent="0.2">
      <c r="A117" s="24" t="s">
        <v>36</v>
      </c>
      <c r="B117" s="24">
        <v>2020</v>
      </c>
      <c r="C117" s="25">
        <v>91819</v>
      </c>
      <c r="D117" s="25">
        <v>97345</v>
      </c>
      <c r="E117" s="26">
        <f t="shared" si="1"/>
        <v>189164</v>
      </c>
      <c r="F117" s="20"/>
    </row>
    <row r="118" spans="1:6" x14ac:dyDescent="0.2">
      <c r="A118" s="24" t="s">
        <v>36</v>
      </c>
      <c r="B118" s="24">
        <v>2021</v>
      </c>
      <c r="C118" s="25">
        <v>90329</v>
      </c>
      <c r="D118" s="25">
        <v>97106</v>
      </c>
      <c r="E118" s="26">
        <f t="shared" si="1"/>
        <v>187435</v>
      </c>
      <c r="F118" s="20"/>
    </row>
    <row r="119" spans="1:6" x14ac:dyDescent="0.2">
      <c r="A119" s="24" t="s">
        <v>36</v>
      </c>
      <c r="B119" s="24">
        <v>2022</v>
      </c>
      <c r="C119" s="25">
        <v>88662</v>
      </c>
      <c r="D119" s="25">
        <v>95716</v>
      </c>
      <c r="E119" s="26">
        <f t="shared" si="1"/>
        <v>184378</v>
      </c>
      <c r="F119" s="20"/>
    </row>
    <row r="120" spans="1:6" x14ac:dyDescent="0.2">
      <c r="A120" s="24" t="s">
        <v>36</v>
      </c>
      <c r="B120" s="24">
        <v>2023</v>
      </c>
      <c r="C120" s="25">
        <v>85449</v>
      </c>
      <c r="D120" s="25">
        <v>92239</v>
      </c>
      <c r="E120" s="26">
        <f t="shared" si="1"/>
        <v>177688</v>
      </c>
      <c r="F120" s="20"/>
    </row>
    <row r="121" spans="1:6" x14ac:dyDescent="0.2">
      <c r="A121" s="24" t="s">
        <v>36</v>
      </c>
      <c r="B121" s="24">
        <v>2024</v>
      </c>
      <c r="C121" s="25">
        <v>76507</v>
      </c>
      <c r="D121" s="25">
        <v>85755</v>
      </c>
      <c r="E121" s="26">
        <f t="shared" si="1"/>
        <v>162262</v>
      </c>
      <c r="F121" s="20"/>
    </row>
    <row r="122" spans="1:6" x14ac:dyDescent="0.2">
      <c r="A122" s="24" t="s">
        <v>36</v>
      </c>
      <c r="B122" s="24">
        <v>2025</v>
      </c>
      <c r="C122" s="25">
        <v>73692</v>
      </c>
      <c r="D122" s="25">
        <v>83056</v>
      </c>
      <c r="E122" s="26">
        <f t="shared" si="1"/>
        <v>156748</v>
      </c>
      <c r="F122" s="20"/>
    </row>
    <row r="123" spans="1:6" x14ac:dyDescent="0.2">
      <c r="A123" s="24" t="s">
        <v>37</v>
      </c>
      <c r="B123" s="24">
        <v>2015</v>
      </c>
      <c r="C123" s="25">
        <v>97911</v>
      </c>
      <c r="D123" s="25">
        <v>98462</v>
      </c>
      <c r="E123" s="26">
        <f t="shared" si="1"/>
        <v>196373</v>
      </c>
      <c r="F123" s="20"/>
    </row>
    <row r="124" spans="1:6" x14ac:dyDescent="0.2">
      <c r="A124" s="24" t="s">
        <v>37</v>
      </c>
      <c r="B124" s="24">
        <v>2016</v>
      </c>
      <c r="C124" s="25">
        <v>101448</v>
      </c>
      <c r="D124" s="25">
        <v>103139</v>
      </c>
      <c r="E124" s="26">
        <f t="shared" si="1"/>
        <v>204587</v>
      </c>
      <c r="F124" s="20"/>
    </row>
    <row r="125" spans="1:6" x14ac:dyDescent="0.2">
      <c r="A125" s="24" t="s">
        <v>37</v>
      </c>
      <c r="B125" s="24">
        <v>2017</v>
      </c>
      <c r="C125" s="25">
        <v>99865</v>
      </c>
      <c r="D125" s="25">
        <v>101027</v>
      </c>
      <c r="E125" s="26">
        <f t="shared" si="1"/>
        <v>200892</v>
      </c>
      <c r="F125" s="20"/>
    </row>
    <row r="126" spans="1:6" x14ac:dyDescent="0.2">
      <c r="A126" s="24" t="s">
        <v>37</v>
      </c>
      <c r="B126" s="24">
        <v>2018</v>
      </c>
      <c r="C126" s="25">
        <v>101186</v>
      </c>
      <c r="D126" s="25">
        <v>102876</v>
      </c>
      <c r="E126" s="26">
        <f t="shared" si="1"/>
        <v>204062</v>
      </c>
      <c r="F126" s="20"/>
    </row>
    <row r="127" spans="1:6" x14ac:dyDescent="0.2">
      <c r="A127" s="24" t="s">
        <v>37</v>
      </c>
      <c r="B127" s="24">
        <v>2019</v>
      </c>
      <c r="C127" s="25">
        <v>101895</v>
      </c>
      <c r="D127" s="25">
        <v>104758</v>
      </c>
      <c r="E127" s="26">
        <f t="shared" si="1"/>
        <v>206653</v>
      </c>
      <c r="F127" s="20"/>
    </row>
    <row r="128" spans="1:6" x14ac:dyDescent="0.2">
      <c r="A128" s="24" t="s">
        <v>37</v>
      </c>
      <c r="B128" s="24">
        <v>2020</v>
      </c>
      <c r="C128" s="25">
        <v>99754</v>
      </c>
      <c r="D128" s="25">
        <v>103365</v>
      </c>
      <c r="E128" s="26">
        <f t="shared" si="1"/>
        <v>203119</v>
      </c>
      <c r="F128" s="20"/>
    </row>
    <row r="129" spans="1:6" x14ac:dyDescent="0.2">
      <c r="A129" s="24" t="s">
        <v>37</v>
      </c>
      <c r="B129" s="24">
        <v>2021</v>
      </c>
      <c r="C129" s="25">
        <v>97462</v>
      </c>
      <c r="D129" s="25">
        <v>101163</v>
      </c>
      <c r="E129" s="26">
        <f t="shared" si="1"/>
        <v>198625</v>
      </c>
      <c r="F129" s="20"/>
    </row>
    <row r="130" spans="1:6" x14ac:dyDescent="0.2">
      <c r="A130" s="24" t="s">
        <v>37</v>
      </c>
      <c r="B130" s="24">
        <v>2022</v>
      </c>
      <c r="C130" s="25">
        <v>94545</v>
      </c>
      <c r="D130" s="25">
        <v>99274</v>
      </c>
      <c r="E130" s="26">
        <f t="shared" si="1"/>
        <v>193819</v>
      </c>
      <c r="F130" s="20"/>
    </row>
    <row r="131" spans="1:6" x14ac:dyDescent="0.2">
      <c r="A131" s="24" t="s">
        <v>37</v>
      </c>
      <c r="B131" s="24">
        <v>2023</v>
      </c>
      <c r="C131" s="25">
        <v>92237</v>
      </c>
      <c r="D131" s="25">
        <v>98391</v>
      </c>
      <c r="E131" s="26">
        <f t="shared" ref="E131:E194" si="2">C131+D131</f>
        <v>190628</v>
      </c>
      <c r="F131" s="20"/>
    </row>
    <row r="132" spans="1:6" x14ac:dyDescent="0.2">
      <c r="A132" s="24" t="s">
        <v>37</v>
      </c>
      <c r="B132" s="24">
        <v>2024</v>
      </c>
      <c r="C132" s="25">
        <v>85582</v>
      </c>
      <c r="D132" s="25">
        <v>91673</v>
      </c>
      <c r="E132" s="26">
        <f t="shared" si="2"/>
        <v>177255</v>
      </c>
      <c r="F132" s="20"/>
    </row>
    <row r="133" spans="1:6" x14ac:dyDescent="0.2">
      <c r="A133" s="24" t="s">
        <v>37</v>
      </c>
      <c r="B133" s="24">
        <v>2025</v>
      </c>
      <c r="C133" s="25">
        <v>83471</v>
      </c>
      <c r="D133" s="25">
        <v>90673</v>
      </c>
      <c r="E133" s="26">
        <f t="shared" si="2"/>
        <v>174144</v>
      </c>
      <c r="F133" s="20"/>
    </row>
    <row r="134" spans="1:6" x14ac:dyDescent="0.2">
      <c r="A134" s="24" t="s">
        <v>38</v>
      </c>
      <c r="B134" s="24">
        <v>2015</v>
      </c>
      <c r="C134" s="25">
        <v>74755</v>
      </c>
      <c r="D134" s="25">
        <v>73973</v>
      </c>
      <c r="E134" s="26">
        <f t="shared" si="2"/>
        <v>148728</v>
      </c>
      <c r="F134" s="20"/>
    </row>
    <row r="135" spans="1:6" x14ac:dyDescent="0.2">
      <c r="A135" s="24" t="s">
        <v>38</v>
      </c>
      <c r="B135" s="24">
        <v>2016</v>
      </c>
      <c r="C135" s="25">
        <v>78216</v>
      </c>
      <c r="D135" s="25">
        <v>77520</v>
      </c>
      <c r="E135" s="26">
        <f t="shared" si="2"/>
        <v>155736</v>
      </c>
      <c r="F135" s="20"/>
    </row>
    <row r="136" spans="1:6" x14ac:dyDescent="0.2">
      <c r="A136" s="24" t="s">
        <v>38</v>
      </c>
      <c r="B136" s="24">
        <v>2017</v>
      </c>
      <c r="C136" s="25">
        <v>81437</v>
      </c>
      <c r="D136" s="25">
        <v>83249</v>
      </c>
      <c r="E136" s="26">
        <f t="shared" si="2"/>
        <v>164686</v>
      </c>
      <c r="F136" s="20"/>
    </row>
    <row r="137" spans="1:6" x14ac:dyDescent="0.2">
      <c r="A137" s="24" t="s">
        <v>38</v>
      </c>
      <c r="B137" s="24">
        <v>2018</v>
      </c>
      <c r="C137" s="25">
        <v>84807</v>
      </c>
      <c r="D137" s="25">
        <v>88368</v>
      </c>
      <c r="E137" s="26">
        <f t="shared" si="2"/>
        <v>173175</v>
      </c>
      <c r="F137" s="20"/>
    </row>
    <row r="138" spans="1:6" x14ac:dyDescent="0.2">
      <c r="A138" s="24" t="s">
        <v>38</v>
      </c>
      <c r="B138" s="24">
        <v>2019</v>
      </c>
      <c r="C138" s="25">
        <v>87894</v>
      </c>
      <c r="D138" s="25">
        <v>91566</v>
      </c>
      <c r="E138" s="26">
        <f t="shared" si="2"/>
        <v>179460</v>
      </c>
      <c r="F138" s="20"/>
    </row>
    <row r="139" spans="1:6" x14ac:dyDescent="0.2">
      <c r="A139" s="24" t="s">
        <v>38</v>
      </c>
      <c r="B139" s="24">
        <v>2020</v>
      </c>
      <c r="C139" s="25">
        <v>90642</v>
      </c>
      <c r="D139" s="25">
        <v>94647</v>
      </c>
      <c r="E139" s="26">
        <f t="shared" si="2"/>
        <v>185289</v>
      </c>
      <c r="F139" s="20"/>
    </row>
    <row r="140" spans="1:6" x14ac:dyDescent="0.2">
      <c r="A140" s="24" t="s">
        <v>38</v>
      </c>
      <c r="B140" s="24">
        <v>2021</v>
      </c>
      <c r="C140" s="25">
        <v>92124</v>
      </c>
      <c r="D140" s="25">
        <v>96329</v>
      </c>
      <c r="E140" s="26">
        <f t="shared" si="2"/>
        <v>188453</v>
      </c>
      <c r="F140" s="20"/>
    </row>
    <row r="141" spans="1:6" x14ac:dyDescent="0.2">
      <c r="A141" s="24" t="s">
        <v>38</v>
      </c>
      <c r="B141" s="24">
        <v>2022</v>
      </c>
      <c r="C141" s="25">
        <v>93899</v>
      </c>
      <c r="D141" s="25">
        <v>98838</v>
      </c>
      <c r="E141" s="26">
        <f t="shared" si="2"/>
        <v>192737</v>
      </c>
      <c r="F141" s="20"/>
    </row>
    <row r="142" spans="1:6" x14ac:dyDescent="0.2">
      <c r="A142" s="24" t="s">
        <v>38</v>
      </c>
      <c r="B142" s="24">
        <v>2023</v>
      </c>
      <c r="C142" s="25">
        <v>95110</v>
      </c>
      <c r="D142" s="25">
        <v>100004</v>
      </c>
      <c r="E142" s="26">
        <f t="shared" si="2"/>
        <v>195114</v>
      </c>
      <c r="F142" s="20"/>
    </row>
    <row r="143" spans="1:6" x14ac:dyDescent="0.2">
      <c r="A143" s="24" t="s">
        <v>38</v>
      </c>
      <c r="B143" s="24">
        <v>2024</v>
      </c>
      <c r="C143" s="25">
        <v>95237</v>
      </c>
      <c r="D143" s="25">
        <v>98640</v>
      </c>
      <c r="E143" s="26">
        <f t="shared" si="2"/>
        <v>193877</v>
      </c>
      <c r="F143" s="20"/>
    </row>
    <row r="144" spans="1:6" x14ac:dyDescent="0.2">
      <c r="A144" s="24" t="s">
        <v>38</v>
      </c>
      <c r="B144" s="24">
        <v>2025</v>
      </c>
      <c r="C144" s="25">
        <v>93605</v>
      </c>
      <c r="D144" s="25">
        <v>97787</v>
      </c>
      <c r="E144" s="26">
        <f t="shared" si="2"/>
        <v>191392</v>
      </c>
      <c r="F144" s="20"/>
    </row>
    <row r="145" spans="1:6" x14ac:dyDescent="0.2">
      <c r="A145" s="24" t="s">
        <v>39</v>
      </c>
      <c r="B145" s="24">
        <v>2015</v>
      </c>
      <c r="C145" s="25">
        <v>58539</v>
      </c>
      <c r="D145" s="25">
        <v>57295</v>
      </c>
      <c r="E145" s="26">
        <f t="shared" si="2"/>
        <v>115834</v>
      </c>
      <c r="F145" s="20"/>
    </row>
    <row r="146" spans="1:6" x14ac:dyDescent="0.2">
      <c r="A146" s="24" t="s">
        <v>39</v>
      </c>
      <c r="B146" s="24">
        <v>2016</v>
      </c>
      <c r="C146" s="25">
        <v>62911</v>
      </c>
      <c r="D146" s="25">
        <v>62431</v>
      </c>
      <c r="E146" s="26">
        <f t="shared" si="2"/>
        <v>125342</v>
      </c>
      <c r="F146" s="20"/>
    </row>
    <row r="147" spans="1:6" x14ac:dyDescent="0.2">
      <c r="A147" s="24" t="s">
        <v>39</v>
      </c>
      <c r="B147" s="24">
        <v>2017</v>
      </c>
      <c r="C147" s="25">
        <v>62763</v>
      </c>
      <c r="D147" s="25">
        <v>64711</v>
      </c>
      <c r="E147" s="26">
        <f t="shared" si="2"/>
        <v>127474</v>
      </c>
      <c r="F147" s="20"/>
    </row>
    <row r="148" spans="1:6" x14ac:dyDescent="0.2">
      <c r="A148" s="24" t="s">
        <v>39</v>
      </c>
      <c r="B148" s="24">
        <v>2018</v>
      </c>
      <c r="C148" s="25">
        <v>64306</v>
      </c>
      <c r="D148" s="25">
        <v>66720</v>
      </c>
      <c r="E148" s="26">
        <f t="shared" si="2"/>
        <v>131026</v>
      </c>
      <c r="F148" s="20"/>
    </row>
    <row r="149" spans="1:6" x14ac:dyDescent="0.2">
      <c r="A149" s="24" t="s">
        <v>39</v>
      </c>
      <c r="B149" s="24">
        <v>2019</v>
      </c>
      <c r="C149" s="25">
        <v>66443</v>
      </c>
      <c r="D149" s="25">
        <v>69607</v>
      </c>
      <c r="E149" s="26">
        <f t="shared" si="2"/>
        <v>136050</v>
      </c>
      <c r="F149" s="20"/>
    </row>
    <row r="150" spans="1:6" x14ac:dyDescent="0.2">
      <c r="A150" s="24" t="s">
        <v>39</v>
      </c>
      <c r="B150" s="24">
        <v>2020</v>
      </c>
      <c r="C150" s="25">
        <v>69329</v>
      </c>
      <c r="D150" s="25">
        <v>72995</v>
      </c>
      <c r="E150" s="26">
        <f t="shared" si="2"/>
        <v>142324</v>
      </c>
      <c r="F150" s="20"/>
    </row>
    <row r="151" spans="1:6" x14ac:dyDescent="0.2">
      <c r="A151" s="24" t="s">
        <v>39</v>
      </c>
      <c r="B151" s="24">
        <v>2021</v>
      </c>
      <c r="C151" s="25">
        <v>72196</v>
      </c>
      <c r="D151" s="25">
        <v>77028</v>
      </c>
      <c r="E151" s="26">
        <f t="shared" si="2"/>
        <v>149224</v>
      </c>
      <c r="F151" s="20"/>
    </row>
    <row r="152" spans="1:6" x14ac:dyDescent="0.2">
      <c r="A152" s="24" t="s">
        <v>39</v>
      </c>
      <c r="B152" s="24">
        <v>2022</v>
      </c>
      <c r="C152" s="25">
        <v>74520</v>
      </c>
      <c r="D152" s="25">
        <v>80184</v>
      </c>
      <c r="E152" s="26">
        <f t="shared" si="2"/>
        <v>154704</v>
      </c>
      <c r="F152" s="20"/>
    </row>
    <row r="153" spans="1:6" x14ac:dyDescent="0.2">
      <c r="A153" s="24" t="s">
        <v>39</v>
      </c>
      <c r="B153" s="24">
        <v>2023</v>
      </c>
      <c r="C153" s="25">
        <v>77566</v>
      </c>
      <c r="D153" s="25">
        <v>84570</v>
      </c>
      <c r="E153" s="26">
        <f t="shared" si="2"/>
        <v>162136</v>
      </c>
      <c r="F153" s="20"/>
    </row>
    <row r="154" spans="1:6" x14ac:dyDescent="0.2">
      <c r="A154" s="24" t="s">
        <v>39</v>
      </c>
      <c r="B154" s="24">
        <v>2024</v>
      </c>
      <c r="C154" s="25">
        <v>84293</v>
      </c>
      <c r="D154" s="25">
        <v>86312</v>
      </c>
      <c r="E154" s="26">
        <f t="shared" si="2"/>
        <v>170605</v>
      </c>
      <c r="F154" s="20"/>
    </row>
    <row r="155" spans="1:6" x14ac:dyDescent="0.2">
      <c r="A155" s="24" t="s">
        <v>39</v>
      </c>
      <c r="B155" s="24">
        <v>2025</v>
      </c>
      <c r="C155" s="25">
        <v>86971</v>
      </c>
      <c r="D155" s="25">
        <v>89470</v>
      </c>
      <c r="E155" s="26">
        <f t="shared" si="2"/>
        <v>176441</v>
      </c>
      <c r="F155" s="20"/>
    </row>
    <row r="156" spans="1:6" x14ac:dyDescent="0.2">
      <c r="A156" s="24" t="s">
        <v>40</v>
      </c>
      <c r="B156" s="24">
        <v>2015</v>
      </c>
      <c r="C156" s="25">
        <v>51424</v>
      </c>
      <c r="D156" s="25">
        <v>53987</v>
      </c>
      <c r="E156" s="26">
        <f t="shared" si="2"/>
        <v>105411</v>
      </c>
      <c r="F156" s="20"/>
    </row>
    <row r="157" spans="1:6" x14ac:dyDescent="0.2">
      <c r="A157" s="24" t="s">
        <v>40</v>
      </c>
      <c r="B157" s="24">
        <v>2016</v>
      </c>
      <c r="C157" s="25">
        <v>50334</v>
      </c>
      <c r="D157" s="25">
        <v>51300</v>
      </c>
      <c r="E157" s="26">
        <f t="shared" si="2"/>
        <v>101634</v>
      </c>
      <c r="F157" s="20"/>
    </row>
    <row r="158" spans="1:6" x14ac:dyDescent="0.2">
      <c r="A158" s="24" t="s">
        <v>40</v>
      </c>
      <c r="B158" s="24">
        <v>2017</v>
      </c>
      <c r="C158" s="25">
        <v>48162</v>
      </c>
      <c r="D158" s="25">
        <v>48967</v>
      </c>
      <c r="E158" s="26">
        <f t="shared" si="2"/>
        <v>97129</v>
      </c>
      <c r="F158" s="20"/>
    </row>
    <row r="159" spans="1:6" x14ac:dyDescent="0.2">
      <c r="A159" s="24" t="s">
        <v>40</v>
      </c>
      <c r="B159" s="24">
        <v>2018</v>
      </c>
      <c r="C159" s="25">
        <v>48627</v>
      </c>
      <c r="D159" s="25">
        <v>49882</v>
      </c>
      <c r="E159" s="26">
        <f t="shared" si="2"/>
        <v>98509</v>
      </c>
      <c r="F159" s="20"/>
    </row>
    <row r="160" spans="1:6" x14ac:dyDescent="0.2">
      <c r="A160" s="24" t="s">
        <v>40</v>
      </c>
      <c r="B160" s="24">
        <v>2019</v>
      </c>
      <c r="C160" s="25">
        <v>50338</v>
      </c>
      <c r="D160" s="25">
        <v>52502</v>
      </c>
      <c r="E160" s="26">
        <f t="shared" si="2"/>
        <v>102840</v>
      </c>
      <c r="F160" s="20"/>
    </row>
    <row r="161" spans="1:6" x14ac:dyDescent="0.2">
      <c r="A161" s="24" t="s">
        <v>40</v>
      </c>
      <c r="B161" s="24">
        <v>2020</v>
      </c>
      <c r="C161" s="25">
        <v>53056</v>
      </c>
      <c r="D161" s="25">
        <v>56701</v>
      </c>
      <c r="E161" s="26">
        <f t="shared" si="2"/>
        <v>109757</v>
      </c>
      <c r="F161" s="20"/>
    </row>
    <row r="162" spans="1:6" x14ac:dyDescent="0.2">
      <c r="A162" s="24" t="s">
        <v>40</v>
      </c>
      <c r="B162" s="24">
        <v>2021</v>
      </c>
      <c r="C162" s="25">
        <v>54148</v>
      </c>
      <c r="D162" s="25">
        <v>58382</v>
      </c>
      <c r="E162" s="26">
        <f t="shared" si="2"/>
        <v>112530</v>
      </c>
      <c r="F162" s="20"/>
    </row>
    <row r="163" spans="1:6" x14ac:dyDescent="0.2">
      <c r="A163" s="24" t="s">
        <v>40</v>
      </c>
      <c r="B163" s="24">
        <v>2022</v>
      </c>
      <c r="C163" s="25">
        <v>55131</v>
      </c>
      <c r="D163" s="25">
        <v>60328</v>
      </c>
      <c r="E163" s="26">
        <f t="shared" si="2"/>
        <v>115459</v>
      </c>
      <c r="F163" s="20"/>
    </row>
    <row r="164" spans="1:6" x14ac:dyDescent="0.2">
      <c r="A164" s="24" t="s">
        <v>40</v>
      </c>
      <c r="B164" s="24">
        <v>2023</v>
      </c>
      <c r="C164" s="25">
        <v>56403</v>
      </c>
      <c r="D164" s="25">
        <v>61841</v>
      </c>
      <c r="E164" s="26">
        <f t="shared" si="2"/>
        <v>118244</v>
      </c>
      <c r="F164" s="20"/>
    </row>
    <row r="165" spans="1:6" x14ac:dyDescent="0.2">
      <c r="A165" s="24" t="s">
        <v>40</v>
      </c>
      <c r="B165" s="24">
        <v>2024</v>
      </c>
      <c r="C165" s="25">
        <v>62150</v>
      </c>
      <c r="D165" s="25">
        <v>64517</v>
      </c>
      <c r="E165" s="26">
        <f t="shared" si="2"/>
        <v>126667</v>
      </c>
      <c r="F165" s="20"/>
    </row>
    <row r="166" spans="1:6" x14ac:dyDescent="0.2">
      <c r="A166" s="24" t="s">
        <v>40</v>
      </c>
      <c r="B166" s="24">
        <v>2025</v>
      </c>
      <c r="C166" s="25">
        <v>64290</v>
      </c>
      <c r="D166" s="25">
        <v>66929</v>
      </c>
      <c r="E166" s="26">
        <f t="shared" si="2"/>
        <v>131219</v>
      </c>
      <c r="F166" s="20"/>
    </row>
    <row r="167" spans="1:6" x14ac:dyDescent="0.2">
      <c r="A167" s="24" t="s">
        <v>41</v>
      </c>
      <c r="B167" s="24">
        <v>2015</v>
      </c>
      <c r="C167" s="25">
        <v>37246</v>
      </c>
      <c r="D167" s="25">
        <v>39203</v>
      </c>
      <c r="E167" s="26">
        <f t="shared" si="2"/>
        <v>76449</v>
      </c>
      <c r="F167" s="20"/>
    </row>
    <row r="168" spans="1:6" x14ac:dyDescent="0.2">
      <c r="A168" s="24" t="s">
        <v>41</v>
      </c>
      <c r="B168" s="24">
        <v>2016</v>
      </c>
      <c r="C168" s="25">
        <v>38548</v>
      </c>
      <c r="D168" s="25">
        <v>41547</v>
      </c>
      <c r="E168" s="26">
        <f t="shared" si="2"/>
        <v>80095</v>
      </c>
      <c r="F168" s="20"/>
    </row>
    <row r="169" spans="1:6" x14ac:dyDescent="0.2">
      <c r="A169" s="24" t="s">
        <v>41</v>
      </c>
      <c r="B169" s="24">
        <v>2017</v>
      </c>
      <c r="C169" s="25">
        <v>40302</v>
      </c>
      <c r="D169" s="25">
        <v>43854</v>
      </c>
      <c r="E169" s="26">
        <f t="shared" si="2"/>
        <v>84156</v>
      </c>
      <c r="F169" s="20"/>
    </row>
    <row r="170" spans="1:6" x14ac:dyDescent="0.2">
      <c r="A170" s="24" t="s">
        <v>41</v>
      </c>
      <c r="B170" s="24">
        <v>2018</v>
      </c>
      <c r="C170" s="25">
        <v>41404</v>
      </c>
      <c r="D170" s="25">
        <v>45795</v>
      </c>
      <c r="E170" s="26">
        <f t="shared" si="2"/>
        <v>87199</v>
      </c>
      <c r="F170" s="20"/>
    </row>
    <row r="171" spans="1:6" x14ac:dyDescent="0.2">
      <c r="A171" s="24" t="s">
        <v>41</v>
      </c>
      <c r="B171" s="24">
        <v>2019</v>
      </c>
      <c r="C171" s="25">
        <v>41965</v>
      </c>
      <c r="D171" s="25">
        <v>45948</v>
      </c>
      <c r="E171" s="26">
        <f t="shared" si="2"/>
        <v>87913</v>
      </c>
      <c r="F171" s="20"/>
    </row>
    <row r="172" spans="1:6" x14ac:dyDescent="0.2">
      <c r="A172" s="24" t="s">
        <v>41</v>
      </c>
      <c r="B172" s="24">
        <v>2020</v>
      </c>
      <c r="C172" s="25">
        <v>41534</v>
      </c>
      <c r="D172" s="25">
        <v>44457</v>
      </c>
      <c r="E172" s="26">
        <f t="shared" si="2"/>
        <v>85991</v>
      </c>
      <c r="F172" s="20"/>
    </row>
    <row r="173" spans="1:6" x14ac:dyDescent="0.2">
      <c r="A173" s="24" t="s">
        <v>41</v>
      </c>
      <c r="B173" s="24">
        <v>2021</v>
      </c>
      <c r="C173" s="25">
        <v>40995</v>
      </c>
      <c r="D173" s="25">
        <v>44359</v>
      </c>
      <c r="E173" s="26">
        <f t="shared" si="2"/>
        <v>85354</v>
      </c>
      <c r="F173" s="20"/>
    </row>
    <row r="174" spans="1:6" x14ac:dyDescent="0.2">
      <c r="A174" s="24" t="s">
        <v>41</v>
      </c>
      <c r="B174" s="24">
        <v>2022</v>
      </c>
      <c r="C174" s="25">
        <v>39208</v>
      </c>
      <c r="D174" s="25">
        <v>42784</v>
      </c>
      <c r="E174" s="26">
        <f t="shared" si="2"/>
        <v>81992</v>
      </c>
      <c r="F174" s="20"/>
    </row>
    <row r="175" spans="1:6" x14ac:dyDescent="0.2">
      <c r="A175" s="24" t="s">
        <v>41</v>
      </c>
      <c r="B175" s="24">
        <v>2023</v>
      </c>
      <c r="C175" s="25">
        <v>39898</v>
      </c>
      <c r="D175" s="25">
        <v>43675</v>
      </c>
      <c r="E175" s="26">
        <f t="shared" si="2"/>
        <v>83573</v>
      </c>
      <c r="F175" s="20"/>
    </row>
    <row r="176" spans="1:6" x14ac:dyDescent="0.2">
      <c r="A176" s="24" t="s">
        <v>41</v>
      </c>
      <c r="B176" s="24">
        <v>2024</v>
      </c>
      <c r="C176" s="25">
        <v>40647</v>
      </c>
      <c r="D176" s="25">
        <v>42569</v>
      </c>
      <c r="E176" s="26">
        <f t="shared" si="2"/>
        <v>83216</v>
      </c>
      <c r="F176" s="20"/>
    </row>
    <row r="177" spans="1:6" x14ac:dyDescent="0.2">
      <c r="A177" s="24" t="s">
        <v>41</v>
      </c>
      <c r="B177" s="24">
        <v>2025</v>
      </c>
      <c r="C177" s="25">
        <v>43908</v>
      </c>
      <c r="D177" s="25">
        <v>46631</v>
      </c>
      <c r="E177" s="26">
        <f t="shared" si="2"/>
        <v>90539</v>
      </c>
      <c r="F177" s="20"/>
    </row>
    <row r="178" spans="1:6" x14ac:dyDescent="0.2">
      <c r="A178" s="24" t="s">
        <v>42</v>
      </c>
      <c r="B178" s="24">
        <v>2015</v>
      </c>
      <c r="C178" s="25">
        <v>18202</v>
      </c>
      <c r="D178" s="25">
        <v>23232</v>
      </c>
      <c r="E178" s="26">
        <f t="shared" si="2"/>
        <v>41434</v>
      </c>
      <c r="F178" s="20"/>
    </row>
    <row r="179" spans="1:6" x14ac:dyDescent="0.2">
      <c r="A179" s="24" t="s">
        <v>42</v>
      </c>
      <c r="B179" s="24">
        <v>2016</v>
      </c>
      <c r="C179" s="25">
        <v>18929</v>
      </c>
      <c r="D179" s="25">
        <v>23247</v>
      </c>
      <c r="E179" s="26">
        <f t="shared" si="2"/>
        <v>42176</v>
      </c>
      <c r="F179" s="20"/>
    </row>
    <row r="180" spans="1:6" x14ac:dyDescent="0.2">
      <c r="A180" s="24" t="s">
        <v>42</v>
      </c>
      <c r="B180" s="24">
        <v>2017</v>
      </c>
      <c r="C180" s="25">
        <v>22165</v>
      </c>
      <c r="D180" s="25">
        <v>24736</v>
      </c>
      <c r="E180" s="26">
        <f t="shared" si="2"/>
        <v>46901</v>
      </c>
      <c r="F180" s="20"/>
    </row>
    <row r="181" spans="1:6" x14ac:dyDescent="0.2">
      <c r="A181" s="24" t="s">
        <v>42</v>
      </c>
      <c r="B181" s="24">
        <v>2018</v>
      </c>
      <c r="C181" s="25">
        <v>23579</v>
      </c>
      <c r="D181" s="25">
        <v>25846</v>
      </c>
      <c r="E181" s="26">
        <f t="shared" si="2"/>
        <v>49425</v>
      </c>
      <c r="F181" s="20"/>
    </row>
    <row r="182" spans="1:6" x14ac:dyDescent="0.2">
      <c r="A182" s="24" t="s">
        <v>42</v>
      </c>
      <c r="B182" s="24">
        <v>2019</v>
      </c>
      <c r="C182" s="25">
        <v>24909</v>
      </c>
      <c r="D182" s="25">
        <v>27315</v>
      </c>
      <c r="E182" s="26">
        <f t="shared" si="2"/>
        <v>52224</v>
      </c>
      <c r="F182" s="20"/>
    </row>
    <row r="183" spans="1:6" x14ac:dyDescent="0.2">
      <c r="A183" s="24" t="s">
        <v>42</v>
      </c>
      <c r="B183" s="24">
        <v>2020</v>
      </c>
      <c r="C183" s="25">
        <v>26298</v>
      </c>
      <c r="D183" s="25">
        <v>29391</v>
      </c>
      <c r="E183" s="26">
        <f t="shared" si="2"/>
        <v>55689</v>
      </c>
      <c r="F183" s="20"/>
    </row>
    <row r="184" spans="1:6" x14ac:dyDescent="0.2">
      <c r="A184" s="24" t="s">
        <v>42</v>
      </c>
      <c r="B184" s="24">
        <v>2021</v>
      </c>
      <c r="C184" s="25">
        <v>27176</v>
      </c>
      <c r="D184" s="25">
        <v>30982</v>
      </c>
      <c r="E184" s="26">
        <f t="shared" si="2"/>
        <v>58158</v>
      </c>
      <c r="F184" s="20"/>
    </row>
    <row r="185" spans="1:6" x14ac:dyDescent="0.2">
      <c r="A185" s="24" t="s">
        <v>42</v>
      </c>
      <c r="B185" s="24">
        <v>2022</v>
      </c>
      <c r="C185" s="25">
        <v>28192</v>
      </c>
      <c r="D185" s="25">
        <v>32848</v>
      </c>
      <c r="E185" s="26">
        <f t="shared" si="2"/>
        <v>61040</v>
      </c>
      <c r="F185" s="20"/>
    </row>
    <row r="186" spans="1:6" x14ac:dyDescent="0.2">
      <c r="A186" s="24" t="s">
        <v>42</v>
      </c>
      <c r="B186" s="24">
        <v>2023</v>
      </c>
      <c r="C186" s="25">
        <v>28848</v>
      </c>
      <c r="D186" s="25">
        <v>34202</v>
      </c>
      <c r="E186" s="26">
        <f t="shared" si="2"/>
        <v>63050</v>
      </c>
      <c r="F186" s="20"/>
    </row>
    <row r="187" spans="1:6" x14ac:dyDescent="0.2">
      <c r="A187" s="24" t="s">
        <v>42</v>
      </c>
      <c r="B187" s="24">
        <v>2024</v>
      </c>
      <c r="C187" s="25">
        <v>28449</v>
      </c>
      <c r="D187" s="25">
        <v>33383</v>
      </c>
      <c r="E187" s="26">
        <f t="shared" si="2"/>
        <v>61832</v>
      </c>
      <c r="F187" s="20"/>
    </row>
    <row r="188" spans="1:6" x14ac:dyDescent="0.2">
      <c r="A188" s="24" t="s">
        <v>42</v>
      </c>
      <c r="B188" s="24">
        <v>2025</v>
      </c>
      <c r="C188" s="25">
        <v>29141</v>
      </c>
      <c r="D188" s="25">
        <v>33060</v>
      </c>
      <c r="E188" s="26">
        <f t="shared" si="2"/>
        <v>62201</v>
      </c>
      <c r="F188" s="20"/>
    </row>
    <row r="189" spans="1:6" x14ac:dyDescent="0.2">
      <c r="A189" s="24" t="s">
        <v>23</v>
      </c>
      <c r="B189" s="24">
        <v>2015</v>
      </c>
      <c r="C189" s="25">
        <v>7362</v>
      </c>
      <c r="D189" s="25">
        <v>12776</v>
      </c>
      <c r="E189" s="26">
        <f t="shared" si="2"/>
        <v>20138</v>
      </c>
      <c r="F189" s="20"/>
    </row>
    <row r="190" spans="1:6" x14ac:dyDescent="0.2">
      <c r="A190" s="24" t="s">
        <v>23</v>
      </c>
      <c r="B190" s="24">
        <v>2016</v>
      </c>
      <c r="C190" s="25">
        <v>8112</v>
      </c>
      <c r="D190" s="25">
        <v>13716</v>
      </c>
      <c r="E190" s="26">
        <f t="shared" si="2"/>
        <v>21828</v>
      </c>
      <c r="F190" s="20"/>
    </row>
    <row r="191" spans="1:6" x14ac:dyDescent="0.2">
      <c r="A191" s="24" t="s">
        <v>23</v>
      </c>
      <c r="B191" s="24">
        <v>2017</v>
      </c>
      <c r="C191" s="25">
        <v>9212</v>
      </c>
      <c r="D191" s="25">
        <v>13079</v>
      </c>
      <c r="E191" s="26">
        <f t="shared" si="2"/>
        <v>22291</v>
      </c>
      <c r="F191" s="20"/>
    </row>
    <row r="192" spans="1:6" x14ac:dyDescent="0.2">
      <c r="A192" s="24" t="s">
        <v>23</v>
      </c>
      <c r="B192" s="24">
        <v>2018</v>
      </c>
      <c r="C192" s="25">
        <v>10102</v>
      </c>
      <c r="D192" s="25">
        <v>12906</v>
      </c>
      <c r="E192" s="26">
        <f t="shared" si="2"/>
        <v>23008</v>
      </c>
      <c r="F192" s="20"/>
    </row>
    <row r="193" spans="1:6" x14ac:dyDescent="0.2">
      <c r="A193" s="24" t="s">
        <v>23</v>
      </c>
      <c r="B193" s="24">
        <v>2019</v>
      </c>
      <c r="C193" s="25">
        <v>11018</v>
      </c>
      <c r="D193" s="25">
        <v>13171</v>
      </c>
      <c r="E193" s="26">
        <f t="shared" si="2"/>
        <v>24189</v>
      </c>
      <c r="F193" s="20"/>
    </row>
    <row r="194" spans="1:6" x14ac:dyDescent="0.2">
      <c r="A194" s="24" t="s">
        <v>23</v>
      </c>
      <c r="B194" s="24">
        <v>2020</v>
      </c>
      <c r="C194" s="25">
        <v>12516</v>
      </c>
      <c r="D194" s="25">
        <v>13759</v>
      </c>
      <c r="E194" s="26">
        <f t="shared" si="2"/>
        <v>26275</v>
      </c>
      <c r="F194" s="20"/>
    </row>
    <row r="195" spans="1:6" x14ac:dyDescent="0.2">
      <c r="A195" s="24" t="s">
        <v>23</v>
      </c>
      <c r="B195" s="24">
        <v>2021</v>
      </c>
      <c r="C195" s="25">
        <v>12634</v>
      </c>
      <c r="D195" s="25">
        <v>13631</v>
      </c>
      <c r="E195" s="26">
        <f>C195+D195</f>
        <v>26265</v>
      </c>
      <c r="F195" s="20"/>
    </row>
    <row r="196" spans="1:6" x14ac:dyDescent="0.2">
      <c r="A196" s="24" t="s">
        <v>23</v>
      </c>
      <c r="B196" s="24">
        <v>2022</v>
      </c>
      <c r="C196" s="25">
        <v>12758</v>
      </c>
      <c r="D196" s="25">
        <v>13272</v>
      </c>
      <c r="E196" s="26">
        <f>C196+D196</f>
        <v>26030</v>
      </c>
      <c r="F196" s="20"/>
    </row>
    <row r="197" spans="1:6" x14ac:dyDescent="0.2">
      <c r="A197" s="24" t="s">
        <v>23</v>
      </c>
      <c r="B197" s="24">
        <v>2023</v>
      </c>
      <c r="C197" s="25">
        <v>13780</v>
      </c>
      <c r="D197" s="25">
        <v>13713</v>
      </c>
      <c r="E197" s="26">
        <f>C197+D197</f>
        <v>27493</v>
      </c>
      <c r="F197" s="20"/>
    </row>
    <row r="198" spans="1:6" x14ac:dyDescent="0.2">
      <c r="A198" s="24" t="s">
        <v>23</v>
      </c>
      <c r="B198" s="24">
        <v>2024</v>
      </c>
      <c r="C198" s="25">
        <v>16237</v>
      </c>
      <c r="D198" s="25">
        <v>20603</v>
      </c>
      <c r="E198" s="26">
        <f>C198+D198</f>
        <v>36840</v>
      </c>
      <c r="F198" s="20"/>
    </row>
    <row r="199" spans="1:6" x14ac:dyDescent="0.2">
      <c r="A199" s="24" t="s">
        <v>23</v>
      </c>
      <c r="B199" s="24">
        <v>2025</v>
      </c>
      <c r="C199" s="25">
        <v>17743</v>
      </c>
      <c r="D199" s="25">
        <v>22253</v>
      </c>
      <c r="E199" s="26">
        <f>C199+D199</f>
        <v>39996</v>
      </c>
      <c r="F199" s="20"/>
    </row>
    <row r="230" spans="1:6" x14ac:dyDescent="0.2">
      <c r="A230" s="19"/>
      <c r="B230" s="16"/>
      <c r="C230" s="15"/>
      <c r="D230" s="15"/>
      <c r="E230" s="15"/>
      <c r="F230" s="15"/>
    </row>
    <row r="231" spans="1:6" x14ac:dyDescent="0.2">
      <c r="A231" s="18"/>
      <c r="B231" s="16"/>
      <c r="C231" s="15"/>
      <c r="D231" s="15"/>
      <c r="E231" s="15"/>
      <c r="F231" s="15"/>
    </row>
    <row r="232" spans="1:6" x14ac:dyDescent="0.2">
      <c r="A232" s="16"/>
      <c r="B232" s="16"/>
      <c r="C232" s="15"/>
      <c r="D232" s="15"/>
      <c r="E232" s="15"/>
      <c r="F232" s="15"/>
    </row>
    <row r="233" spans="1:6" x14ac:dyDescent="0.2">
      <c r="A233" s="16"/>
      <c r="B233" s="16"/>
      <c r="C233" s="15"/>
      <c r="D233" s="15"/>
      <c r="E233" s="15"/>
      <c r="F233" s="15"/>
    </row>
    <row r="234" spans="1:6" x14ac:dyDescent="0.2">
      <c r="A234" s="16"/>
      <c r="B234" s="16"/>
      <c r="C234" s="15"/>
      <c r="D234" s="15"/>
      <c r="E234" s="15"/>
      <c r="F234" s="15"/>
    </row>
    <row r="235" spans="1:6" x14ac:dyDescent="0.2">
      <c r="A235" s="16"/>
      <c r="B235" s="16"/>
      <c r="C235" s="15"/>
      <c r="D235" s="15"/>
      <c r="E235" s="15"/>
      <c r="F235" s="15"/>
    </row>
    <row r="236" spans="1:6" x14ac:dyDescent="0.2">
      <c r="A236" s="16"/>
      <c r="B236" s="16"/>
      <c r="C236" s="15"/>
      <c r="D236" s="15"/>
      <c r="E236" s="15"/>
      <c r="F236" s="15"/>
    </row>
    <row r="237" spans="1:6" x14ac:dyDescent="0.2">
      <c r="A237" s="16"/>
      <c r="B237" s="16"/>
      <c r="C237" s="15"/>
      <c r="D237" s="15"/>
      <c r="E237" s="15"/>
      <c r="F237" s="15"/>
    </row>
    <row r="238" spans="1:6" x14ac:dyDescent="0.2">
      <c r="A238" s="16"/>
      <c r="B238" s="16"/>
      <c r="C238" s="15"/>
      <c r="D238" s="15"/>
      <c r="E238" s="15"/>
      <c r="F238" s="15"/>
    </row>
    <row r="239" spans="1:6" x14ac:dyDescent="0.2">
      <c r="A239" s="16"/>
      <c r="B239" s="16"/>
      <c r="C239" s="15"/>
      <c r="D239" s="15"/>
      <c r="E239" s="15"/>
      <c r="F239" s="15"/>
    </row>
    <row r="240" spans="1:6" x14ac:dyDescent="0.2">
      <c r="A240" s="16"/>
      <c r="B240" s="16"/>
      <c r="C240" s="15"/>
      <c r="D240" s="15"/>
      <c r="E240" s="15"/>
      <c r="F240" s="15"/>
    </row>
    <row r="241" spans="1:6" x14ac:dyDescent="0.2">
      <c r="A241" s="16"/>
      <c r="B241" s="16"/>
      <c r="C241" s="15"/>
      <c r="D241" s="15"/>
      <c r="E241" s="15"/>
      <c r="F241" s="15"/>
    </row>
    <row r="242" spans="1:6" x14ac:dyDescent="0.2">
      <c r="A242" s="16"/>
      <c r="B242" s="16"/>
      <c r="C242" s="15"/>
      <c r="D242" s="15"/>
      <c r="E242" s="15"/>
      <c r="F242" s="15"/>
    </row>
    <row r="243" spans="1:6" x14ac:dyDescent="0.2">
      <c r="A243" s="16"/>
      <c r="B243" s="18"/>
      <c r="C243" s="15"/>
      <c r="D243" s="15"/>
      <c r="E243" s="15"/>
      <c r="F243" s="15"/>
    </row>
    <row r="244" spans="1:6" x14ac:dyDescent="0.2">
      <c r="A244" s="18"/>
      <c r="B244" s="15"/>
    </row>
    <row r="245" spans="1:6" x14ac:dyDescent="0.2">
      <c r="A245" s="15"/>
      <c r="B245" s="15"/>
      <c r="C245" s="15"/>
      <c r="D245" s="15"/>
    </row>
    <row r="246" spans="1:6" x14ac:dyDescent="0.2">
      <c r="A246" s="15"/>
      <c r="B246" s="15"/>
      <c r="C246" s="15"/>
      <c r="D246" s="15"/>
    </row>
    <row r="247" spans="1:6" x14ac:dyDescent="0.2">
      <c r="A247" s="15"/>
      <c r="B247" s="15"/>
      <c r="C247" s="15"/>
      <c r="D247" s="15"/>
    </row>
    <row r="248" spans="1:6" x14ac:dyDescent="0.2">
      <c r="A248" s="15"/>
      <c r="B248" s="15"/>
      <c r="C248" s="15"/>
      <c r="D248" s="15"/>
    </row>
    <row r="249" spans="1:6" x14ac:dyDescent="0.2">
      <c r="A249" s="15"/>
      <c r="B249" s="15"/>
      <c r="C249" s="15"/>
      <c r="D249" s="15"/>
    </row>
    <row r="250" spans="1:6" x14ac:dyDescent="0.2">
      <c r="A250" s="15"/>
      <c r="B250" s="15"/>
      <c r="C250" s="15"/>
      <c r="D250" s="15"/>
    </row>
    <row r="253" spans="1:6" x14ac:dyDescent="0.2">
      <c r="A253" s="15"/>
      <c r="B253" s="15"/>
      <c r="C253" s="15"/>
      <c r="D253" s="15"/>
    </row>
    <row r="254" spans="1:6" x14ac:dyDescent="0.2">
      <c r="A254" s="15"/>
      <c r="B254" s="15"/>
      <c r="C254" s="15"/>
      <c r="D254" s="15"/>
    </row>
    <row r="255" spans="1:6" x14ac:dyDescent="0.2">
      <c r="A255" s="15"/>
      <c r="B255" s="15"/>
      <c r="C255" s="15"/>
      <c r="D255" s="15"/>
      <c r="E255" s="15"/>
      <c r="F255" s="15"/>
    </row>
    <row r="256" spans="1:6" x14ac:dyDescent="0.2">
      <c r="A256" s="15"/>
      <c r="B256" s="15"/>
      <c r="C256" s="15"/>
      <c r="D256" s="15"/>
      <c r="E256" s="15"/>
      <c r="F256" s="15"/>
    </row>
    <row r="257" spans="1:6" x14ac:dyDescent="0.2">
      <c r="A257" s="15"/>
      <c r="B257" s="15"/>
      <c r="C257" s="15"/>
      <c r="D257" s="15"/>
      <c r="E257" s="15"/>
      <c r="F257" s="15"/>
    </row>
    <row r="258" spans="1:6" x14ac:dyDescent="0.2">
      <c r="A258" s="15"/>
      <c r="B258" s="15"/>
      <c r="C258" s="15"/>
      <c r="D258" s="15"/>
      <c r="E258" s="15"/>
      <c r="F258" s="15"/>
    </row>
    <row r="259" spans="1:6" x14ac:dyDescent="0.2">
      <c r="A259" s="15"/>
      <c r="B259" s="15"/>
      <c r="C259" s="15"/>
      <c r="D259" s="15"/>
      <c r="E259" s="15"/>
      <c r="F259" s="15"/>
    </row>
    <row r="260" spans="1:6" x14ac:dyDescent="0.2">
      <c r="A260" s="15"/>
      <c r="B260" s="15"/>
      <c r="C260" s="15"/>
      <c r="D260" s="15"/>
      <c r="E260" s="15"/>
      <c r="F260" s="15"/>
    </row>
    <row r="261" spans="1:6" x14ac:dyDescent="0.2">
      <c r="A261" s="15"/>
      <c r="B261" s="15"/>
      <c r="C261" s="15"/>
    </row>
    <row r="262" spans="1:6" x14ac:dyDescent="0.2">
      <c r="A262" s="15"/>
      <c r="B262" s="15"/>
      <c r="C262" s="15"/>
      <c r="D262" s="15"/>
      <c r="E262" s="15"/>
      <c r="F262" s="15"/>
    </row>
    <row r="263" spans="1:6" x14ac:dyDescent="0.2">
      <c r="A263" s="15"/>
      <c r="B263" s="15"/>
      <c r="C263" s="15"/>
      <c r="D263" s="15"/>
      <c r="E263" s="15"/>
      <c r="F263" s="15"/>
    </row>
    <row r="264" spans="1:6" x14ac:dyDescent="0.2">
      <c r="A264" s="15"/>
      <c r="B264" s="15"/>
      <c r="C264" s="15"/>
      <c r="D264" s="15"/>
      <c r="E264" s="15"/>
      <c r="F264" s="15"/>
    </row>
    <row r="265" spans="1:6" x14ac:dyDescent="0.2">
      <c r="A265" s="15"/>
      <c r="B265" s="15"/>
      <c r="C265" s="15"/>
      <c r="D265" s="15"/>
      <c r="E265" s="15"/>
      <c r="F265" s="15"/>
    </row>
    <row r="266" spans="1:6" x14ac:dyDescent="0.2">
      <c r="A266" s="15"/>
      <c r="B266" s="15"/>
      <c r="C266" s="15"/>
      <c r="D266" s="15"/>
      <c r="E266" s="15"/>
      <c r="F266" s="15"/>
    </row>
    <row r="267" spans="1:6" x14ac:dyDescent="0.2">
      <c r="A267" s="15"/>
      <c r="B267" s="15"/>
      <c r="C267" s="15"/>
      <c r="D267" s="15"/>
      <c r="E267" s="15"/>
      <c r="F267" s="15"/>
    </row>
    <row r="268" spans="1:6" x14ac:dyDescent="0.2">
      <c r="A268" s="15"/>
      <c r="B268" s="15"/>
      <c r="C268" s="15"/>
      <c r="D268" s="15"/>
      <c r="E268" s="15"/>
      <c r="F268" s="15"/>
    </row>
    <row r="269" spans="1:6" x14ac:dyDescent="0.2">
      <c r="A269" s="15"/>
      <c r="B269" s="15"/>
      <c r="C269" s="15"/>
      <c r="D269" s="15"/>
      <c r="E269" s="15"/>
      <c r="F269" s="15"/>
    </row>
    <row r="270" spans="1:6" x14ac:dyDescent="0.2">
      <c r="A270" s="17"/>
      <c r="B270" s="15"/>
      <c r="C270" s="15"/>
      <c r="D270" s="15"/>
      <c r="E270" s="15"/>
      <c r="F270" s="15"/>
    </row>
    <row r="271" spans="1:6" x14ac:dyDescent="0.2">
      <c r="A271" s="17"/>
      <c r="B271" s="15"/>
      <c r="C271" s="15"/>
      <c r="D271" s="15"/>
      <c r="E271" s="15"/>
      <c r="F271" s="15"/>
    </row>
    <row r="272" spans="1:6" x14ac:dyDescent="0.2">
      <c r="A272" s="17"/>
      <c r="B272" s="15"/>
      <c r="C272" s="15"/>
      <c r="D272" s="15"/>
      <c r="E272" s="15"/>
      <c r="F272" s="15"/>
    </row>
    <row r="273" spans="1:6" x14ac:dyDescent="0.2">
      <c r="A273" s="17"/>
      <c r="B273" s="15"/>
      <c r="C273" s="15"/>
      <c r="D273" s="15"/>
      <c r="E273" s="15"/>
      <c r="F273" s="15"/>
    </row>
    <row r="274" spans="1:6" x14ac:dyDescent="0.2">
      <c r="A274" s="17"/>
      <c r="B274" s="15"/>
      <c r="C274" s="15"/>
      <c r="D274" s="15"/>
      <c r="E274" s="15"/>
      <c r="F274" s="15"/>
    </row>
    <row r="275" spans="1:6" x14ac:dyDescent="0.2">
      <c r="A275" s="17"/>
      <c r="B275" s="15"/>
      <c r="C275" s="15"/>
      <c r="D275" s="15"/>
      <c r="E275" s="15"/>
      <c r="F275" s="15"/>
    </row>
    <row r="276" spans="1:6" x14ac:dyDescent="0.2">
      <c r="A276" s="17"/>
      <c r="B276" s="15"/>
      <c r="C276" s="15"/>
      <c r="D276" s="15"/>
      <c r="E276" s="15"/>
      <c r="F276" s="15"/>
    </row>
    <row r="277" spans="1:6" x14ac:dyDescent="0.2">
      <c r="A277" s="17"/>
      <c r="B277" s="15"/>
      <c r="C277" s="15"/>
      <c r="D277" s="15"/>
      <c r="E277" s="15"/>
      <c r="F277" s="15"/>
    </row>
    <row r="278" spans="1:6" x14ac:dyDescent="0.2">
      <c r="A278" s="17"/>
      <c r="B278" s="15"/>
      <c r="C278" s="15"/>
      <c r="D278" s="15"/>
      <c r="E278" s="15"/>
      <c r="F278" s="15"/>
    </row>
    <row r="279" spans="1:6" x14ac:dyDescent="0.2">
      <c r="A279" s="17"/>
      <c r="B279" s="15"/>
      <c r="C279" s="15"/>
      <c r="D279" s="15"/>
      <c r="E279" s="15"/>
      <c r="F279" s="15"/>
    </row>
    <row r="280" spans="1:6" x14ac:dyDescent="0.2">
      <c r="A280" s="17"/>
      <c r="B280" s="15"/>
      <c r="C280" s="15"/>
      <c r="D280" s="15"/>
      <c r="E280" s="15"/>
      <c r="F280" s="15"/>
    </row>
    <row r="281" spans="1:6" x14ac:dyDescent="0.2">
      <c r="A281" s="17"/>
      <c r="B281" s="15"/>
      <c r="C281" s="15"/>
      <c r="D281" s="15"/>
      <c r="E281" s="15"/>
      <c r="F281" s="15"/>
    </row>
    <row r="282" spans="1:6" x14ac:dyDescent="0.2">
      <c r="A282" s="17"/>
      <c r="B282" s="15"/>
      <c r="C282" s="15"/>
      <c r="D282" s="15"/>
      <c r="E282" s="15"/>
      <c r="F282" s="15"/>
    </row>
    <row r="283" spans="1:6" x14ac:dyDescent="0.2">
      <c r="A283" s="17"/>
      <c r="B283" s="15"/>
      <c r="C283" s="15"/>
      <c r="D283" s="15"/>
      <c r="E283" s="15"/>
      <c r="F283" s="15"/>
    </row>
    <row r="284" spans="1:6" x14ac:dyDescent="0.2">
      <c r="A284" s="17"/>
      <c r="B284" s="15"/>
      <c r="C284" s="15"/>
      <c r="D284" s="15"/>
    </row>
    <row r="285" spans="1:6" x14ac:dyDescent="0.2">
      <c r="A285" s="15"/>
      <c r="B285" s="15"/>
      <c r="C285" s="15"/>
      <c r="D285" s="15"/>
      <c r="E285" s="15"/>
      <c r="F285" s="15"/>
    </row>
    <row r="286" spans="1:6" x14ac:dyDescent="0.2">
      <c r="A286" s="17"/>
      <c r="B286" s="15"/>
      <c r="C286" s="15"/>
      <c r="D286" s="15"/>
      <c r="E286" s="15"/>
      <c r="F286" s="15"/>
    </row>
    <row r="287" spans="1:6" x14ac:dyDescent="0.2">
      <c r="A287" s="17"/>
      <c r="B287" s="15"/>
      <c r="C287" s="15"/>
      <c r="D287" s="15"/>
      <c r="E287" s="15"/>
      <c r="F287" s="15"/>
    </row>
    <row r="288" spans="1:6" x14ac:dyDescent="0.2">
      <c r="A288" s="17"/>
      <c r="B288" s="15"/>
      <c r="C288" s="15"/>
      <c r="D288" s="15"/>
      <c r="E288" s="15"/>
      <c r="F288" s="15"/>
    </row>
    <row r="289" spans="1:6" x14ac:dyDescent="0.2">
      <c r="A289" s="17"/>
      <c r="B289" s="15"/>
      <c r="C289" s="15"/>
      <c r="D289" s="15"/>
      <c r="E289" s="15"/>
      <c r="F289" s="15"/>
    </row>
    <row r="290" spans="1:6" x14ac:dyDescent="0.2">
      <c r="A290" s="17"/>
      <c r="B290" s="15"/>
      <c r="C290" s="15"/>
      <c r="D290" s="15"/>
      <c r="E290" s="15"/>
      <c r="F290" s="15"/>
    </row>
    <row r="291" spans="1:6" x14ac:dyDescent="0.2">
      <c r="A291" s="17"/>
      <c r="B291" s="15"/>
      <c r="C291" s="15"/>
      <c r="D291" s="15"/>
      <c r="E291" s="15"/>
      <c r="F291" s="15"/>
    </row>
    <row r="292" spans="1:6" x14ac:dyDescent="0.2">
      <c r="A292" s="17"/>
      <c r="B292" s="15"/>
      <c r="C292" s="15"/>
      <c r="D292" s="15"/>
      <c r="E292" s="15"/>
      <c r="F292" s="15"/>
    </row>
    <row r="293" spans="1:6" x14ac:dyDescent="0.2">
      <c r="A293" s="17"/>
      <c r="B293" s="15"/>
      <c r="C293" s="15"/>
      <c r="D293" s="15"/>
      <c r="E293" s="15"/>
      <c r="F293" s="15"/>
    </row>
    <row r="294" spans="1:6" x14ac:dyDescent="0.2">
      <c r="A294" s="17"/>
      <c r="B294" s="15"/>
      <c r="C294" s="15"/>
      <c r="D294" s="15"/>
      <c r="E294" s="15"/>
      <c r="F294" s="15"/>
    </row>
    <row r="295" spans="1:6" x14ac:dyDescent="0.2">
      <c r="A295" s="17"/>
      <c r="B295" s="15"/>
      <c r="C295" s="15"/>
      <c r="D295" s="15"/>
      <c r="E295" s="15"/>
      <c r="F295" s="15"/>
    </row>
    <row r="296" spans="1:6" x14ac:dyDescent="0.2">
      <c r="A296" s="17"/>
      <c r="B296" s="15"/>
      <c r="C296" s="15"/>
      <c r="D296" s="15"/>
      <c r="E296" s="15"/>
      <c r="F296" s="15"/>
    </row>
    <row r="297" spans="1:6" x14ac:dyDescent="0.2">
      <c r="A297" s="17"/>
      <c r="B297" s="15"/>
      <c r="C297" s="15"/>
      <c r="D297" s="15"/>
      <c r="E297" s="15"/>
      <c r="F297" s="15"/>
    </row>
    <row r="298" spans="1:6" x14ac:dyDescent="0.2">
      <c r="A298" s="17"/>
      <c r="B298" s="15"/>
      <c r="C298" s="15"/>
      <c r="D298" s="15"/>
      <c r="E298" s="15"/>
      <c r="F298" s="15"/>
    </row>
    <row r="299" spans="1:6" x14ac:dyDescent="0.2">
      <c r="A299" s="17"/>
      <c r="B299" s="15"/>
      <c r="C299" s="15"/>
      <c r="D299" s="15"/>
      <c r="E299" s="15"/>
      <c r="F299" s="15"/>
    </row>
    <row r="300" spans="1:6" x14ac:dyDescent="0.2">
      <c r="A300" s="17"/>
      <c r="B300" s="15"/>
      <c r="C300" s="15"/>
    </row>
    <row r="301" spans="1:6" x14ac:dyDescent="0.2">
      <c r="A301" s="17"/>
      <c r="B301" s="15"/>
      <c r="C301" s="15"/>
      <c r="D301" s="15"/>
      <c r="E301" s="15"/>
      <c r="F301" s="15"/>
    </row>
    <row r="302" spans="1:6" x14ac:dyDescent="0.2">
      <c r="A302" s="17"/>
      <c r="B302" s="15"/>
      <c r="C302" s="15"/>
      <c r="D302" s="15"/>
      <c r="E302" s="15"/>
      <c r="F302" s="15"/>
    </row>
    <row r="303" spans="1:6" x14ac:dyDescent="0.2">
      <c r="A303" s="17"/>
      <c r="B303" s="15"/>
      <c r="C303" s="15"/>
      <c r="D303" s="15"/>
      <c r="E303" s="15"/>
      <c r="F303" s="15"/>
    </row>
    <row r="304" spans="1:6" x14ac:dyDescent="0.2">
      <c r="A304" s="17"/>
      <c r="B304" s="15"/>
      <c r="C304" s="15"/>
      <c r="D304" s="15"/>
      <c r="E304" s="15"/>
      <c r="F304" s="15"/>
    </row>
    <row r="305" spans="1:6" x14ac:dyDescent="0.2">
      <c r="A305" s="17"/>
      <c r="B305" s="15"/>
      <c r="C305" s="15"/>
      <c r="D305" s="15"/>
      <c r="E305" s="15"/>
      <c r="F305" s="15"/>
    </row>
    <row r="306" spans="1:6" x14ac:dyDescent="0.2">
      <c r="A306" s="17"/>
      <c r="B306" s="15"/>
      <c r="C306" s="15"/>
      <c r="D306" s="15"/>
      <c r="E306" s="15"/>
      <c r="F306" s="15"/>
    </row>
    <row r="307" spans="1:6" x14ac:dyDescent="0.2">
      <c r="A307" s="15"/>
      <c r="B307" s="15"/>
      <c r="C307" s="15"/>
      <c r="D307" s="15"/>
      <c r="E307" s="15"/>
      <c r="F307" s="15"/>
    </row>
    <row r="308" spans="1:6" x14ac:dyDescent="0.2">
      <c r="A308" s="15"/>
      <c r="B308" s="15"/>
      <c r="C308" s="15"/>
      <c r="D308" s="15"/>
      <c r="E308" s="15"/>
      <c r="F308" s="15"/>
    </row>
    <row r="309" spans="1:6" x14ac:dyDescent="0.2">
      <c r="A309" s="15"/>
      <c r="B309" s="15"/>
      <c r="C309" s="15"/>
      <c r="D309" s="15"/>
      <c r="E309" s="15"/>
      <c r="F309" s="15"/>
    </row>
    <row r="310" spans="1:6" x14ac:dyDescent="0.2">
      <c r="A310" s="15"/>
      <c r="B310" s="15"/>
      <c r="C310" s="15"/>
      <c r="D310" s="15"/>
      <c r="E310" s="15"/>
      <c r="F310" s="15"/>
    </row>
    <row r="311" spans="1:6" x14ac:dyDescent="0.2">
      <c r="A311" s="15"/>
      <c r="B311" s="15"/>
      <c r="C311" s="15"/>
      <c r="D311" s="15"/>
      <c r="E311" s="15"/>
      <c r="F311" s="15"/>
    </row>
    <row r="312" spans="1:6" x14ac:dyDescent="0.2">
      <c r="A312" s="15"/>
      <c r="B312" s="15"/>
      <c r="C312" s="15"/>
      <c r="D312" s="15"/>
      <c r="E312" s="15"/>
      <c r="F312" s="15"/>
    </row>
    <row r="313" spans="1:6" x14ac:dyDescent="0.2">
      <c r="A313" s="15"/>
      <c r="B313" s="15"/>
      <c r="C313" s="15"/>
      <c r="D313" s="15"/>
      <c r="E313" s="15"/>
      <c r="F313" s="15"/>
    </row>
    <row r="314" spans="1:6" x14ac:dyDescent="0.2">
      <c r="A314" s="15"/>
      <c r="B314" s="15"/>
      <c r="C314" s="15"/>
      <c r="D314" s="15"/>
      <c r="E314" s="15"/>
      <c r="F314" s="15"/>
    </row>
    <row r="315" spans="1:6" x14ac:dyDescent="0.2">
      <c r="A315" s="15"/>
      <c r="B315" s="15"/>
      <c r="C315" s="15"/>
      <c r="D315" s="15"/>
      <c r="E315" s="15"/>
      <c r="F315" s="15"/>
    </row>
    <row r="316" spans="1:6" x14ac:dyDescent="0.2">
      <c r="A316" s="15"/>
      <c r="B316" s="15"/>
      <c r="C316" s="15"/>
      <c r="D316" s="15"/>
      <c r="E316" s="15"/>
      <c r="F316" s="15"/>
    </row>
    <row r="317" spans="1:6" x14ac:dyDescent="0.2">
      <c r="A317" s="15"/>
      <c r="B317" s="15"/>
      <c r="C317" s="15"/>
      <c r="D317" s="15"/>
      <c r="E317" s="15"/>
      <c r="F317" s="15"/>
    </row>
    <row r="318" spans="1:6" x14ac:dyDescent="0.2">
      <c r="A318" s="15"/>
      <c r="B318" s="15"/>
      <c r="C318" s="15"/>
      <c r="D318" s="15"/>
      <c r="E318" s="15"/>
      <c r="F318" s="15"/>
    </row>
    <row r="319" spans="1:6" x14ac:dyDescent="0.2">
      <c r="A319" s="15"/>
      <c r="B319" s="15"/>
      <c r="C319" s="15"/>
      <c r="D319" s="15"/>
      <c r="E319" s="15"/>
      <c r="F319" s="15"/>
    </row>
    <row r="320" spans="1:6" x14ac:dyDescent="0.2">
      <c r="A320" s="15"/>
      <c r="B320" s="15"/>
      <c r="C320" s="15"/>
      <c r="D320" s="15"/>
      <c r="E320" s="15"/>
      <c r="F320" s="15"/>
    </row>
    <row r="321" spans="1:6" x14ac:dyDescent="0.2">
      <c r="A321" s="15"/>
      <c r="B321" s="15"/>
      <c r="C321" s="15"/>
      <c r="D321" s="15"/>
      <c r="E321" s="15"/>
      <c r="F321" s="15"/>
    </row>
    <row r="322" spans="1:6" x14ac:dyDescent="0.2">
      <c r="A322" s="15"/>
      <c r="B322" s="15"/>
      <c r="C322" s="15"/>
      <c r="D322" s="15"/>
      <c r="E322" s="15"/>
      <c r="F322" s="15"/>
    </row>
    <row r="323" spans="1:6" x14ac:dyDescent="0.2">
      <c r="A323" s="15"/>
      <c r="B323" s="15"/>
      <c r="C323" s="15"/>
      <c r="D323" s="15"/>
      <c r="E323" s="15"/>
      <c r="F323" s="15"/>
    </row>
    <row r="324" spans="1:6" x14ac:dyDescent="0.2">
      <c r="A324" s="15"/>
      <c r="B324" s="15"/>
      <c r="C324" s="15"/>
      <c r="D324" s="15"/>
      <c r="E324" s="15"/>
      <c r="F324" s="15"/>
    </row>
    <row r="325" spans="1:6" x14ac:dyDescent="0.2">
      <c r="A325" s="15"/>
      <c r="B325" s="15"/>
      <c r="C325" s="15"/>
      <c r="D325" s="15"/>
      <c r="E325" s="15"/>
      <c r="F325" s="15"/>
    </row>
    <row r="326" spans="1:6" x14ac:dyDescent="0.2">
      <c r="A326" s="15"/>
      <c r="B326" s="15"/>
      <c r="C326" s="15"/>
      <c r="D326" s="15"/>
      <c r="E326" s="15"/>
      <c r="F326" s="15"/>
    </row>
    <row r="327" spans="1:6" x14ac:dyDescent="0.2">
      <c r="A327" s="15"/>
      <c r="B327" s="15"/>
      <c r="C327" s="15"/>
      <c r="D327" s="15"/>
      <c r="E327" s="15"/>
      <c r="F327" s="15"/>
    </row>
    <row r="328" spans="1:6" x14ac:dyDescent="0.2">
      <c r="A328" s="15"/>
      <c r="B328" s="15"/>
      <c r="C328" s="15"/>
      <c r="D328" s="15"/>
      <c r="E328" s="15"/>
      <c r="F328" s="15"/>
    </row>
    <row r="329" spans="1:6" x14ac:dyDescent="0.2">
      <c r="A329" s="15"/>
      <c r="B329" s="15"/>
      <c r="C329" s="15"/>
      <c r="D329" s="15"/>
      <c r="E329" s="15"/>
      <c r="F329" s="15"/>
    </row>
    <row r="330" spans="1:6" x14ac:dyDescent="0.2">
      <c r="A330" s="15"/>
      <c r="B330" s="15"/>
      <c r="C330" s="15"/>
      <c r="D330" s="15"/>
      <c r="E330" s="15"/>
      <c r="F330" s="15"/>
    </row>
    <row r="331" spans="1:6" x14ac:dyDescent="0.2">
      <c r="A331" s="15"/>
      <c r="B331" s="15"/>
      <c r="C331" s="15"/>
      <c r="D331" s="15"/>
      <c r="E331" s="15"/>
      <c r="F331" s="15"/>
    </row>
    <row r="332" spans="1:6" x14ac:dyDescent="0.2">
      <c r="A332" s="15"/>
      <c r="B332" s="15"/>
      <c r="C332" s="15"/>
      <c r="D332" s="15"/>
      <c r="E332" s="15"/>
      <c r="F332" s="15"/>
    </row>
    <row r="333" spans="1:6" x14ac:dyDescent="0.2">
      <c r="A333" s="15"/>
      <c r="B333" s="15"/>
      <c r="C333" s="15"/>
      <c r="D333" s="15"/>
      <c r="E333" s="15"/>
      <c r="F333" s="15"/>
    </row>
    <row r="334" spans="1:6" x14ac:dyDescent="0.2">
      <c r="A334" s="15"/>
      <c r="B334" s="15"/>
      <c r="C334" s="15"/>
      <c r="D334" s="15"/>
      <c r="E334" s="15"/>
      <c r="F334" s="15"/>
    </row>
    <row r="335" spans="1:6" x14ac:dyDescent="0.2">
      <c r="A335" s="15"/>
      <c r="B335" s="15"/>
      <c r="C335" s="15"/>
      <c r="D335" s="15"/>
      <c r="E335" s="15"/>
      <c r="F335" s="15"/>
    </row>
    <row r="336" spans="1:6" x14ac:dyDescent="0.2">
      <c r="A336" s="15"/>
      <c r="B336" s="15"/>
      <c r="C336" s="15"/>
      <c r="D336" s="15"/>
      <c r="E336" s="15"/>
      <c r="F336" s="15"/>
    </row>
    <row r="337" spans="1:6" x14ac:dyDescent="0.2">
      <c r="A337" s="15"/>
      <c r="B337" s="15"/>
      <c r="C337" s="15"/>
      <c r="D337" s="15"/>
      <c r="E337" s="15"/>
      <c r="F337" s="15"/>
    </row>
    <row r="338" spans="1:6" x14ac:dyDescent="0.2">
      <c r="A338" s="15"/>
      <c r="B338" s="15"/>
      <c r="C338" s="15"/>
      <c r="D338" s="15"/>
      <c r="E338" s="15"/>
      <c r="F338" s="15"/>
    </row>
    <row r="339" spans="1:6" x14ac:dyDescent="0.2">
      <c r="A339" s="15"/>
      <c r="B339" s="15"/>
      <c r="C339" s="15"/>
      <c r="D339" s="15"/>
      <c r="E339" s="15"/>
      <c r="F339" s="15"/>
    </row>
    <row r="340" spans="1:6" x14ac:dyDescent="0.2">
      <c r="A340" s="15"/>
      <c r="B340" s="15"/>
      <c r="C340" s="15"/>
      <c r="D340" s="15"/>
      <c r="E340" s="15"/>
      <c r="F340" s="15"/>
    </row>
    <row r="341" spans="1:6" x14ac:dyDescent="0.2">
      <c r="A341" s="15"/>
      <c r="B341" s="15"/>
      <c r="C341" s="15"/>
      <c r="D341" s="15"/>
      <c r="E341" s="15"/>
      <c r="F341" s="15"/>
    </row>
    <row r="342" spans="1:6" x14ac:dyDescent="0.2">
      <c r="A342" s="15"/>
      <c r="B342" s="15"/>
      <c r="C342" s="15"/>
      <c r="D342" s="15"/>
      <c r="E342" s="15"/>
      <c r="F342" s="15"/>
    </row>
    <row r="343" spans="1:6" x14ac:dyDescent="0.2">
      <c r="A343" s="15"/>
      <c r="B343" s="15"/>
      <c r="C343" s="15"/>
      <c r="D343" s="15"/>
      <c r="E343" s="15"/>
      <c r="F343" s="15"/>
    </row>
    <row r="344" spans="1:6" x14ac:dyDescent="0.2">
      <c r="A344" s="15"/>
      <c r="B344" s="15"/>
      <c r="C344" s="15"/>
      <c r="D344" s="15"/>
      <c r="E344" s="15"/>
      <c r="F344" s="15"/>
    </row>
    <row r="345" spans="1:6" x14ac:dyDescent="0.2">
      <c r="A345" s="15"/>
      <c r="B345" s="15"/>
      <c r="C345" s="15"/>
      <c r="D345" s="15"/>
      <c r="E345" s="15"/>
      <c r="F345" s="15"/>
    </row>
    <row r="346" spans="1:6" x14ac:dyDescent="0.2">
      <c r="A346" s="15"/>
      <c r="B346" s="15"/>
      <c r="C346" s="15"/>
      <c r="D346" s="15"/>
      <c r="E346" s="15"/>
      <c r="F346" s="15"/>
    </row>
    <row r="347" spans="1:6" x14ac:dyDescent="0.2">
      <c r="A347" s="15"/>
      <c r="B347" s="15"/>
      <c r="C347" s="15"/>
      <c r="D347" s="15"/>
      <c r="E347" s="15"/>
      <c r="F347" s="15"/>
    </row>
    <row r="348" spans="1:6" x14ac:dyDescent="0.2">
      <c r="A348" s="15"/>
      <c r="B348" s="15"/>
      <c r="C348" s="15"/>
      <c r="D348" s="15"/>
      <c r="E348" s="15"/>
      <c r="F348" s="15"/>
    </row>
    <row r="349" spans="1:6" x14ac:dyDescent="0.2">
      <c r="A349" s="15"/>
      <c r="B349" s="15"/>
      <c r="C349" s="15"/>
      <c r="D349" s="15"/>
      <c r="E349" s="15"/>
      <c r="F349" s="15"/>
    </row>
    <row r="350" spans="1:6" x14ac:dyDescent="0.2">
      <c r="A350" s="15"/>
      <c r="B350" s="15"/>
      <c r="C350" s="15"/>
      <c r="D350" s="15"/>
      <c r="E350" s="15"/>
      <c r="F350" s="15"/>
    </row>
    <row r="351" spans="1:6" x14ac:dyDescent="0.2">
      <c r="A351" s="15"/>
      <c r="B351" s="15"/>
      <c r="C351" s="15"/>
      <c r="D351" s="15"/>
      <c r="E351" s="15"/>
      <c r="F351" s="15"/>
    </row>
    <row r="352" spans="1:6" x14ac:dyDescent="0.2">
      <c r="A352" s="15"/>
      <c r="B352" s="15"/>
      <c r="C352" s="15"/>
      <c r="D352" s="15"/>
      <c r="E352" s="15"/>
      <c r="F352" s="15"/>
    </row>
    <row r="353" spans="1:6" x14ac:dyDescent="0.2">
      <c r="A353" s="15"/>
      <c r="B353" s="15"/>
      <c r="C353" s="15"/>
      <c r="D353" s="15"/>
      <c r="E353" s="15"/>
      <c r="F353" s="15"/>
    </row>
    <row r="354" spans="1:6" x14ac:dyDescent="0.2">
      <c r="A354" s="15"/>
      <c r="B354" s="15"/>
      <c r="C354" s="15"/>
      <c r="D354" s="15"/>
      <c r="E354" s="15"/>
      <c r="F354" s="15"/>
    </row>
    <row r="355" spans="1:6" x14ac:dyDescent="0.2">
      <c r="A355" s="15"/>
      <c r="B355" s="15"/>
      <c r="C355" s="15"/>
      <c r="D355" s="15"/>
      <c r="E355" s="15"/>
      <c r="F355" s="15"/>
    </row>
    <row r="356" spans="1:6" x14ac:dyDescent="0.2">
      <c r="A356" s="15"/>
      <c r="B356" s="15"/>
      <c r="C356" s="15"/>
      <c r="D356" s="15"/>
      <c r="E356" s="15"/>
      <c r="F356" s="15"/>
    </row>
    <row r="357" spans="1:6" x14ac:dyDescent="0.2">
      <c r="A357" s="15"/>
      <c r="B357" s="15"/>
      <c r="C357" s="15"/>
      <c r="D357" s="15"/>
      <c r="E357" s="15"/>
      <c r="F357" s="15"/>
    </row>
    <row r="358" spans="1:6" x14ac:dyDescent="0.2">
      <c r="A358" s="15"/>
      <c r="B358" s="15"/>
      <c r="C358" s="15"/>
      <c r="D358" s="15"/>
      <c r="E358" s="15"/>
      <c r="F358" s="15"/>
    </row>
    <row r="359" spans="1:6" x14ac:dyDescent="0.2">
      <c r="A359" s="15"/>
      <c r="B359" s="15"/>
      <c r="C359" s="15"/>
      <c r="D359" s="15"/>
      <c r="E359" s="15"/>
      <c r="F359" s="15"/>
    </row>
    <row r="360" spans="1:6" x14ac:dyDescent="0.2">
      <c r="A360" s="15"/>
      <c r="B360" s="15"/>
      <c r="C360" s="15"/>
      <c r="D360" s="15"/>
      <c r="E360" s="15"/>
      <c r="F360" s="15"/>
    </row>
    <row r="361" spans="1:6" x14ac:dyDescent="0.2">
      <c r="A361" s="15"/>
      <c r="B361" s="15"/>
      <c r="C361" s="15"/>
      <c r="D361" s="15"/>
      <c r="E361" s="15"/>
      <c r="F361" s="15"/>
    </row>
    <row r="362" spans="1:6" x14ac:dyDescent="0.2">
      <c r="A362" s="15"/>
      <c r="B362" s="15"/>
      <c r="C362" s="15"/>
      <c r="D362" s="15"/>
      <c r="E362" s="15"/>
      <c r="F362" s="15"/>
    </row>
    <row r="363" spans="1:6" x14ac:dyDescent="0.2">
      <c r="A363" s="15"/>
      <c r="B363" s="15"/>
      <c r="C363" s="15"/>
      <c r="D363" s="15"/>
      <c r="E363" s="15"/>
      <c r="F363" s="15"/>
    </row>
    <row r="364" spans="1:6" x14ac:dyDescent="0.2">
      <c r="A364" s="15"/>
      <c r="B364" s="15"/>
      <c r="C364" s="15"/>
      <c r="D364" s="15"/>
      <c r="E364" s="15"/>
      <c r="F364" s="15"/>
    </row>
    <row r="365" spans="1:6" x14ac:dyDescent="0.2">
      <c r="A365" s="15"/>
      <c r="B365" s="15"/>
      <c r="C365" s="15"/>
      <c r="D365" s="15"/>
      <c r="E365" s="15"/>
      <c r="F365" s="15"/>
    </row>
    <row r="366" spans="1:6" x14ac:dyDescent="0.2">
      <c r="A366" s="15"/>
      <c r="B366" s="15"/>
      <c r="C366" s="15"/>
      <c r="D366" s="15"/>
      <c r="E366" s="15"/>
      <c r="F366" s="15"/>
    </row>
    <row r="367" spans="1:6" x14ac:dyDescent="0.2">
      <c r="A367" s="15"/>
      <c r="B367" s="15"/>
      <c r="C367" s="15"/>
      <c r="D367" s="15"/>
      <c r="E367" s="15"/>
      <c r="F367" s="15"/>
    </row>
    <row r="368" spans="1:6" x14ac:dyDescent="0.2">
      <c r="A368" s="15"/>
      <c r="B368" s="15"/>
      <c r="C368" s="15"/>
      <c r="D368" s="15"/>
      <c r="E368" s="15"/>
      <c r="F368" s="15"/>
    </row>
    <row r="369" spans="1:6" x14ac:dyDescent="0.2">
      <c r="A369" s="15"/>
      <c r="B369" s="15"/>
      <c r="C369" s="15"/>
      <c r="D369" s="15"/>
      <c r="E369" s="15"/>
      <c r="F369" s="15"/>
    </row>
    <row r="370" spans="1:6" x14ac:dyDescent="0.2">
      <c r="B370" s="15"/>
      <c r="C370" s="15"/>
      <c r="D370" s="15"/>
      <c r="E370" s="15"/>
      <c r="F370" s="15"/>
    </row>
    <row r="371" spans="1:6" x14ac:dyDescent="0.2">
      <c r="B371" s="15"/>
      <c r="C371" s="15"/>
      <c r="D371" s="15"/>
      <c r="E371" s="15"/>
      <c r="F371" s="15"/>
    </row>
    <row r="372" spans="1:6" x14ac:dyDescent="0.2">
      <c r="B372" s="15"/>
      <c r="C372" s="15"/>
      <c r="D372" s="15"/>
      <c r="E372" s="15"/>
      <c r="F372" s="15"/>
    </row>
    <row r="373" spans="1:6" x14ac:dyDescent="0.2">
      <c r="B373" s="15"/>
      <c r="C373" s="15"/>
      <c r="D373" s="15"/>
      <c r="E373" s="15"/>
      <c r="F373" s="15"/>
    </row>
    <row r="374" spans="1:6" x14ac:dyDescent="0.2">
      <c r="B374" s="15"/>
      <c r="C374" s="15"/>
      <c r="D374" s="15"/>
      <c r="E374" s="15"/>
      <c r="F374" s="15"/>
    </row>
    <row r="375" spans="1:6" x14ac:dyDescent="0.2">
      <c r="B375" s="15"/>
      <c r="C375" s="15"/>
      <c r="D375" s="15"/>
      <c r="E375" s="15"/>
      <c r="F375" s="15"/>
    </row>
    <row r="376" spans="1:6" x14ac:dyDescent="0.2">
      <c r="B376" s="15"/>
      <c r="C376" s="15"/>
      <c r="D376" s="15"/>
      <c r="E376" s="15"/>
      <c r="F376" s="15"/>
    </row>
    <row r="377" spans="1:6" x14ac:dyDescent="0.2">
      <c r="B377" s="15"/>
      <c r="C377" s="15"/>
      <c r="D377" s="15"/>
      <c r="E377" s="15"/>
      <c r="F377" s="15"/>
    </row>
    <row r="378" spans="1:6" x14ac:dyDescent="0.2">
      <c r="B378" s="15"/>
      <c r="C378" s="15"/>
      <c r="D378" s="15"/>
      <c r="E378" s="15"/>
      <c r="F378" s="15"/>
    </row>
    <row r="379" spans="1:6" x14ac:dyDescent="0.2">
      <c r="B379" s="15"/>
      <c r="C379" s="15"/>
      <c r="D379" s="15"/>
      <c r="E379" s="15"/>
      <c r="F379" s="15"/>
    </row>
    <row r="380" spans="1:6" x14ac:dyDescent="0.2">
      <c r="B380" s="15"/>
      <c r="C380" s="15"/>
      <c r="D380" s="15"/>
      <c r="E380" s="15"/>
      <c r="F380" s="15"/>
    </row>
    <row r="381" spans="1:6" x14ac:dyDescent="0.2">
      <c r="B381" s="15"/>
      <c r="C381" s="15"/>
      <c r="D381" s="15"/>
      <c r="E381" s="15"/>
      <c r="F381" s="15"/>
    </row>
    <row r="382" spans="1:6" x14ac:dyDescent="0.2">
      <c r="B382" s="15"/>
      <c r="C382" s="15"/>
      <c r="D382" s="15"/>
      <c r="E382" s="15"/>
      <c r="F382" s="15"/>
    </row>
    <row r="383" spans="1:6" x14ac:dyDescent="0.2">
      <c r="B383" s="15"/>
      <c r="C383" s="15"/>
      <c r="D383" s="15"/>
      <c r="E383" s="15"/>
      <c r="F383" s="15"/>
    </row>
    <row r="384" spans="1:6" x14ac:dyDescent="0.2">
      <c r="B384" s="15"/>
      <c r="C384" s="15"/>
      <c r="D384" s="15"/>
      <c r="E384" s="15"/>
      <c r="F384" s="15"/>
    </row>
  </sheetData>
  <phoneticPr fontId="5"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Graph by Prefecture</vt:lpstr>
      <vt:lpstr>Data by Prefecture</vt:lpstr>
      <vt:lpstr>Graph by Age Group</vt:lpstr>
      <vt:lpstr>Data by Age 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MANUELA.EJLLI@baruchmail.cuny.edu</dc:creator>
  <cp:lastModifiedBy>Veneranda Ejlli</cp:lastModifiedBy>
  <cp:lastPrinted>2025-11-30T21:06:08Z</cp:lastPrinted>
  <dcterms:created xsi:type="dcterms:W3CDTF">2025-07-03T15:38:08Z</dcterms:created>
  <dcterms:modified xsi:type="dcterms:W3CDTF">2025-11-30T21:10:13Z</dcterms:modified>
</cp:coreProperties>
</file>